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tcon\Desktop\Playwright\playwright-piloto2\data\"/>
    </mc:Choice>
  </mc:AlternateContent>
  <xr:revisionPtr revIDLastSave="0" documentId="13_ncr:1_{E1EAB182-F9D9-4DC6-A960-3051E3E2B8C2}" xr6:coauthVersionLast="47" xr6:coauthVersionMax="47" xr10:uidLastSave="{00000000-0000-0000-0000-000000000000}"/>
  <bookViews>
    <workbookView xWindow="-108" yWindow="-108" windowWidth="23256" windowHeight="12456" xr2:uid="{522E3CD9-5E7D-4978-84C2-A91ECF51BF07}"/>
  </bookViews>
  <sheets>
    <sheet name="Datos Flujos" sheetId="19" r:id="rId1"/>
    <sheet name="Hoja1" sheetId="20" r:id="rId2"/>
    <sheet name="Flujos transaccionales " sheetId="18" r:id="rId3"/>
    <sheet name="Matriz Modifica 745 24-09-2024" sheetId="16" state="hidden" r:id="rId4"/>
    <sheet name="Matriz Modifica 750 25-09-2 " sheetId="17" state="hidden" r:id="rId5"/>
    <sheet name="Matriz Modifica (737) 09-09-24" sheetId="15" state="hidden" r:id="rId6"/>
    <sheet name="Matriz Modifica (715) 15-08-24" sheetId="14" state="hidden" r:id="rId7"/>
    <sheet name="Matriz Modifica (707) 06-08-24" sheetId="13" state="hidden" r:id="rId8"/>
    <sheet name="Matriz Modifica (702) 02-08-24" sheetId="12" state="hidden" r:id="rId9"/>
    <sheet name="Matriz Modifica 25-07-2024" sheetId="11" state="hidden" r:id="rId10"/>
    <sheet name="Matriz Modifica (696) 19-07-24" sheetId="8" state="hidden" r:id="rId11"/>
    <sheet name="Matriz Modifica (683) 26 Jun 24" sheetId="7" state="hidden" r:id="rId12"/>
    <sheet name="Matriz modificada  24 Junio 24" sheetId="6" state="hidden" r:id="rId13"/>
    <sheet name="Matriz modificada  21 Junio 24" sheetId="4" state="hidden" r:id="rId14"/>
    <sheet name="Matriz modificada" sheetId="2" state="hidden" r:id="rId15"/>
    <sheet name="App" sheetId="9" r:id="rId16"/>
  </sheets>
  <definedNames>
    <definedName name="_xlnm._FilterDatabase" localSheetId="2" hidden="1">'Flujos transaccionales '!$A$1:$J$21</definedName>
    <definedName name="_xlnm._FilterDatabase" localSheetId="11" hidden="1">'Matriz Modifica (683) 26 Jun 24'!$A$1:$M$33</definedName>
    <definedName name="_xlnm._FilterDatabase" localSheetId="10" hidden="1">'Matriz Modifica (696) 19-07-24'!$A$1:$M$33</definedName>
    <definedName name="_xlnm._FilterDatabase" localSheetId="8" hidden="1">'Matriz Modifica (702) 02-08-24'!$A$1:$M$33</definedName>
    <definedName name="_xlnm._FilterDatabase" localSheetId="7" hidden="1">'Matriz Modifica (707) 06-08-24'!$A$1:$M$33</definedName>
    <definedName name="_xlnm._FilterDatabase" localSheetId="6" hidden="1">'Matriz Modifica (715) 15-08-24'!$A$1:$M$33</definedName>
    <definedName name="_xlnm._FilterDatabase" localSheetId="5" hidden="1">'Matriz Modifica (737) 09-09-24'!$A$1:$M$33</definedName>
    <definedName name="_xlnm._FilterDatabase" localSheetId="9" hidden="1">'Matriz Modifica 25-07-2024'!$A$1:$M$33</definedName>
    <definedName name="_xlnm._FilterDatabase" localSheetId="3" hidden="1">'Matriz Modifica 745 24-09-2024'!$A$1:$M$33</definedName>
    <definedName name="_xlnm._FilterDatabase" localSheetId="4" hidden="1">'Matriz Modifica 750 25-09-2 '!$A$1:$M$33</definedName>
    <definedName name="_xlnm._FilterDatabase" localSheetId="14" hidden="1">'Matriz modificada'!$A$1:$M$1</definedName>
    <definedName name="_xlnm._FilterDatabase" localSheetId="13" hidden="1">'Matriz modificada  21 Junio 24'!$A$1:$M$33</definedName>
    <definedName name="_xlnm._FilterDatabase" localSheetId="12" hidden="1">'Matriz modificada  24 Junio 24'!$A$1:$M$33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 i="9" l="1"/>
  <c r="R14" i="9"/>
  <c r="Q14" i="9"/>
  <c r="P14" i="9"/>
  <c r="L14" i="9"/>
  <c r="K14" i="9"/>
  <c r="J14" i="9"/>
  <c r="I14" i="9"/>
  <c r="H14" i="9"/>
  <c r="F14" i="9"/>
  <c r="N13" i="9"/>
  <c r="G13" i="9"/>
  <c r="M13" i="9" s="1"/>
  <c r="O13" i="9" s="1"/>
  <c r="N12" i="9"/>
  <c r="G12" i="9"/>
  <c r="S11" i="9"/>
  <c r="R11" i="9"/>
  <c r="Q11" i="9"/>
  <c r="P11" i="9"/>
  <c r="L11" i="9"/>
  <c r="K11" i="9"/>
  <c r="J11" i="9"/>
  <c r="I11" i="9"/>
  <c r="H11" i="9"/>
  <c r="G11" i="9"/>
  <c r="F11" i="9"/>
  <c r="S7" i="9"/>
  <c r="R7" i="9"/>
  <c r="Q7" i="9"/>
  <c r="P7" i="9"/>
  <c r="L7" i="9"/>
  <c r="K7" i="9"/>
  <c r="J7" i="9"/>
  <c r="I7" i="9"/>
  <c r="H7" i="9"/>
  <c r="F7" i="9"/>
  <c r="M11" i="9" l="1"/>
  <c r="N11" i="9"/>
  <c r="G14" i="9"/>
  <c r="M12" i="9"/>
  <c r="O12" i="9" s="1"/>
  <c r="N14" i="9"/>
  <c r="N7" i="9" s="1"/>
  <c r="M14" i="9" l="1"/>
  <c r="G7" i="9"/>
  <c r="O11" i="9"/>
  <c r="O14" i="9" l="1"/>
  <c r="O7" i="9" s="1"/>
  <c r="M7" i="9"/>
</calcChain>
</file>

<file path=xl/sharedStrings.xml><?xml version="1.0" encoding="utf-8"?>
<sst xmlns="http://schemas.openxmlformats.org/spreadsheetml/2006/main" count="3859" uniqueCount="405">
  <si>
    <t>ID</t>
  </si>
  <si>
    <t xml:space="preserve">Escenario </t>
  </si>
  <si>
    <t>Precondiciones</t>
  </si>
  <si>
    <t>Tipo de prueba</t>
  </si>
  <si>
    <t xml:space="preserve">Pasos a ejecutar </t>
  </si>
  <si>
    <t>C.A</t>
  </si>
  <si>
    <t>Estatus</t>
  </si>
  <si>
    <t>Severidad</t>
  </si>
  <si>
    <t>Liga de HU</t>
  </si>
  <si>
    <t>Comentarios</t>
  </si>
  <si>
    <t>Visualizar metodos de pago</t>
  </si>
  <si>
    <t xml:space="preserve">1. Tener acceso a App Nativa
2. Tener cuenta iniciada
3. Tener productos en el carrito de compas
</t>
  </si>
  <si>
    <t>Visual</t>
  </si>
  <si>
    <t xml:space="preserve">1. Ingresar a la App Nativa
2. Iniciar sesión
3. Agregar productos al carrito
4. Avanzar con el proceso del checkout hasta el paso 4
5. Elegir metodo de pago 
</t>
  </si>
  <si>
    <t>Una vez que el cliente procede a definir la hora y el día de entrega/recepción de su pedido, podrá realizar la selección del método de pago. Los métodos de pago que deben estar disponibles son: 
1.- Pago con tarjeta de crédito / débito (VISA, MasterCard, AMEX y Carnet) 
2.- Pago con Vales de despensa electrónicos 
3.- Pago con puntos BBVA 
4.- Pago con Paypal 
5.- Pago contra entrega (con tarjeta o efectivo) a domicilio o Pickup 
6.- Pre pago en tiendas Chedraui 
7.- Pago en establecimiento asociados</t>
  </si>
  <si>
    <t>Usuario nuevo_Pago con tarjeta de crédito / débito (Super + Vinos y licores)</t>
  </si>
  <si>
    <t>Funcional</t>
  </si>
  <si>
    <t xml:space="preserve">1. Ingresar a la App Nativa
2. Iniciar sesión
3. Agregar productos al carrito
4. Avanzar con el proceso del checkout hasta el paso 4
5. Elegir metodo de pago "Tarjeta de credito/debito"
</t>
  </si>
  <si>
    <t xml:space="preserve">El cliente selecciona la forma de pago con tarjeta de crédito / débito, le muestra un formulario en donde debe ingresar los datos de la tarjeta. Número de la tarjeta, nombre del titular, fecha de vencimiento y CVV (código de seguridad). Le mostrara el monto total a pagar. *Todos los campos del formulario deben ser completados de forma obligatoria por el usuario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</si>
  <si>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nuevo_Pago con tarjeta de crédito / débito (DHL)</t>
  </si>
  <si>
    <t>Usuario nuevo_Pago con tarjeta de crédito / débito (Flete)</t>
  </si>
  <si>
    <t>Usuario nuevo_Pago Con puntos BBVA (Super)</t>
  </si>
  <si>
    <t>1. Ingresar a la App Nativa
2. Iniciar sesión
3. Agregar productos restringidos al carrito
4. Avanzar con el proceso del checkout hasta el paso 4
5. Elegir metodo de pago "Puntos BBVA"</t>
  </si>
  <si>
    <t xml:space="preserve">Si el ciente selecciona esta forma de pago con método de entrega envío a domicilio o recoger en tienda puede hacerlo con una tarjeta bancaría, efectivo, vales de despensa y puntos BBVA. Mostrar el total de la compra.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</si>
  <si>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nuevo_Pago con PAYPAL (Super)</t>
  </si>
  <si>
    <t xml:space="preserve">1. Ingresar a la App Nativa
2. Iniciar sesión
3. Agregar productos al carrito
4. Avanzar con el proceso del checkout hasta el paso 4
5. Elegir metodo de pago "Pago con PAYPAL"
</t>
  </si>
  <si>
    <t xml:space="preserve">Si el cliente selecciona esta forma de pago debe ingresar su cuenta Paypal e ingresar los datos correspondientes. (no es el mismo formulario que se muestra al pagar con tarjeta de débito/crédito). I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</si>
  <si>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nuevo_Pago contra Entrega (Super)</t>
  </si>
  <si>
    <t xml:space="preserve">1. Ingresar a la App Nativa
2. Iniciar sesión
3. Agregar productos al carrito
4. Avanzar con el proceso del checkout hasta el paso 4
5. Elegir metodo de pago "Pago contra entrega"
</t>
  </si>
  <si>
    <t xml:space="preserve">Si el ciente selecciona esta forma de pago con método de Pago contra-entrega a envío a domicilio o recoger en tienda puede pagar con una tarjeta bancaría, efectivo, vales de despensa y puntos BBVA. Mostrar el total de la compra.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</si>
  <si>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ok</t>
  </si>
  <si>
    <t>Usuario nuevo_Pago contra Entrega (DHL)</t>
  </si>
  <si>
    <t xml:space="preserve">Si el ciente selecciona esta forma de pago con método de Pago contra-entrega, no se habilitara el boton de pago, inpidiendo finalizar compra
</t>
  </si>
  <si>
    <t>Usuario nuevo_Pago con Vales de colaborador chedraui (Super)</t>
  </si>
  <si>
    <t xml:space="preserve">1. Ingresar a la App Nativa
2. Iniciar sesión
3. Agregar productos al carrito
4. Avanzar con el proceso del checkout hasta el paso 4
5. Elegir metodo de pago "Vales de Colaborador"
</t>
  </si>
  <si>
    <t>Usuario recurrente_Pago con tarjeta de crédito / débito (Super + Vinos y licores)</t>
  </si>
  <si>
    <t>Usuario recurrente_Pago con tarjeta de crédito / débito (DHL)</t>
  </si>
  <si>
    <t>Usuario recurrente_Pago con tarjeta de crédito / débito (Flete)</t>
  </si>
  <si>
    <t>Usuario recurrente_Pago con Vales de despensa (Super)</t>
  </si>
  <si>
    <t>1. Ingresar a la App Nativa
2. Iniciar sesión
3. Agregar productos NO restringidos al carrito
4. Avanzar con el proceso del checkout hasta el paso 4
5. Elegir metodo de pago "Vales de despensa"</t>
  </si>
  <si>
    <t xml:space="preserve">El cliente selecciona la forma de pago con tarjeta de vales de despensa, le muestra un formulario en donde debe ingresar los datos de la tarjeta. Número de la tarjeta, nombre del titular, fecha de vencimiento y CVV (código de seguridad). Le mostrara el monto total a pagar. *Todos los campos del formulario deben ser completados de forma obligatoria por el usuario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</si>
  <si>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recurrente_Pago Con puntos BBVA (Super)</t>
  </si>
  <si>
    <t xml:space="preserve">Si el cliente tiene en su carrito de compras productos del departamento de vinos y licores esta forma de pago se le mostrará como inhabilitada y al darle tap / clic le debe mostrar el siguiente mensaje: 
"Método de pago restringido"
 "Por disposición oficial, los vales de despensa no pueden ser utilizados para pagar vinos y licores. Te invitamos a utilizar otra forma de pago."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</si>
  <si>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Usuario recurrente_Pago con PAYPAL (Super)</t>
  </si>
  <si>
    <t>Usuario recurrente_Pago contra Entrega (Super)</t>
  </si>
  <si>
    <t>Usuario recurrente_Pago contra Entrega (DHL)</t>
  </si>
  <si>
    <t>Usuario recurrente_Pago con Vales de colaborador chedraui (Super)</t>
  </si>
  <si>
    <t>Usuario recurrente da click en Repetir compra</t>
  </si>
  <si>
    <t xml:space="preserve">1. Ingresar a la App Nativa
2. Iniciar sesión
3. Agregar productos al carrito
4. Avanzar con el proceso del checkout hasta el paso 4
5. Elegir metodo de pago "Cualquier metodo de pago"
6. Realizar la compra
7. Dar click en repetir compra
</t>
  </si>
  <si>
    <t>Usuario Recurrente realiza una segunda compra</t>
  </si>
  <si>
    <t xml:space="preserve">1. Ingresar a la App Nativa
2. Iniciar sesión
3. Agregar productos al carrito
4. Avanzar con el proceso del checkout hasta el paso 4
5. Elegir metodo de pago "Cualquier metodo de Pago"
</t>
  </si>
  <si>
    <t>QA EJECUTA</t>
  </si>
  <si>
    <t>Resultado Obtenido</t>
  </si>
  <si>
    <t>Liga evidencia</t>
  </si>
  <si>
    <t>Andrea</t>
  </si>
  <si>
    <t>Jess</t>
  </si>
  <si>
    <t xml:space="preserve">1. Tener acceso a App Nativa 2.0
2. Tener cuenta iniciada
3. Tener productos en el carrito de compas
</t>
  </si>
  <si>
    <t xml:space="preserve">1. Ingresar a la App 2.0
2. Iniciar sesión
3. Agregar productos al carrito
4. Avanzar con el proceso del checkout hasta el paso 4
</t>
  </si>
  <si>
    <t>Se visualizan correctamente los métodos de pago en paso 4 del checkout</t>
  </si>
  <si>
    <t>Exitoso</t>
  </si>
  <si>
    <t>https://app.clickup.com/t/8499449/APP-250</t>
  </si>
  <si>
    <t>Métodos de pago</t>
  </si>
  <si>
    <t>Adicional se visualizan vales de colaborador chedraui</t>
  </si>
  <si>
    <t xml:space="preserve">1. Ingresar a la App 2.0
2. Iniciar sesión
3. Agregar productos al carrito
4. Avanzar con el proceso del checkout hasta el paso 4
5. Elegir metodo de pago "Tarjeta de credito/debito"
</t>
  </si>
  <si>
    <t>https://app.clickup.com/t/8499449/APP-251</t>
  </si>
  <si>
    <t>Usuario nuevo_Pago con Vales de despensa_Productos (NR)</t>
  </si>
  <si>
    <t>1. Ingresar a la App 2.0
2. Iniciar sesión
3. Agregar productos NO restringidos al carrito
4. Avanzar con el proceso del checkout hasta el paso 4
5. Elegir metodo de pago "Vales de despensa"</t>
  </si>
  <si>
    <t>https://app.clickup.com/t/8499449/APP-254</t>
  </si>
  <si>
    <t>ID 2 EXPLORATORIAS</t>
  </si>
  <si>
    <t>Usuario nuevo_Pago Con puntos BBVA_Productos (Super)</t>
  </si>
  <si>
    <t>1. Ingresar a la App 2.0
2. Iniciar sesión
3. Agregar productos restringidos al carrito
4. Avanzar con el proceso del checkout hasta el paso 4
5. Elegir metodo de pago "Vales de despensa"</t>
  </si>
  <si>
    <t>https://app.clickup.com/t/8499449/APP-255</t>
  </si>
  <si>
    <t>Usuario nuevo_Pago con puntos PAYPAL (NR + Flete)</t>
  </si>
  <si>
    <t xml:space="preserve">1. Ingresar a la App 2.0
2. Iniciar sesión
3. Agregar productos al carrito
4. Avanzar con el proceso del checkout hasta el paso 4
5. Elegir metodo de pago "Pago con puntos BBVA"
</t>
  </si>
  <si>
    <t xml:space="preserve">Si el cliente selecciona esta forma de pago debe ingresar su tarjeta de crédito e ingresar los datos de su tarjeta. (mismo formulario que se muestra al pagar con tarjeta de débito/crédito). Indicar al usuario que, en el caso de no contar con el saldo suficiente para la compra, el saldo restante será aplicado en la misma tarjeta BBVA seleccionada/ingresada.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</si>
  <si>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https://app.clickup.com/t/8499449/APP-258</t>
  </si>
  <si>
    <t>Kikon</t>
  </si>
  <si>
    <t>Usuario nuevo_Pago contra Entrega (NR)</t>
  </si>
  <si>
    <t xml:space="preserve">1. Ingresar a la App 2.0
2. Iniciar sesión
3. Agregar productos al carrito
4. Avanzar con el proceso del checkout hasta el paso 4
5. Elegir metodo de pago "Pago contra entrega"
</t>
  </si>
  <si>
    <t>No permite finalizar COMPRA CON PRODUCTOS NR</t>
  </si>
  <si>
    <t>Fallado</t>
  </si>
  <si>
    <t>Critica</t>
  </si>
  <si>
    <t>https://app.clickup.com/t/8499449/APP-259</t>
  </si>
  <si>
    <t>ID 06 Usuario recurrente_Pago contra Entrega NR.mp4</t>
  </si>
  <si>
    <t>24/09/2024 No permite finalizar compra con Pago contraentrga (al recibir tu producto)
Av Canal de tezontle 590</t>
  </si>
  <si>
    <t>Usuario nuevo_Pre-Pago en tiendas Chedraui (super + vinos y licores)</t>
  </si>
  <si>
    <t xml:space="preserve">1. Ingresar a la App 2.0
2. Iniciar sesión
3. Agregar productos al carrito
4. Avanzar con el proceso del checkout hasta el paso 4
5. Elegir metodo de pago "Pre-pago en otras tiendas Chedraui"
</t>
  </si>
  <si>
    <t xml:space="preserve">Si el cliente selecciona esta forma de pago debera tomar en cuenta que debe realizar el pago en una sucursal de chedraui 2 horas antes de su entrega con el formato que recibio en su correo.
Mostrar las indicaciones correspondientes: 
1. - Al finalizar tu compra, recibirás un correo con el formato de pago. 
2. - Acude a tu tienda Chedraui con el formato impreso y paga en el módulo de Tienda en Línea o de Atención al Cliente. 
3. - El pago se registrará y enviaremos la confirmación a la tienda asignada para que empiece a preparar tu pedido.
 Mostrar mensaje informativo al usuario, si desea realizar el pago al momento de recoger el pedido, debe ir a la sección pago contra entrega.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</si>
  <si>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El flujo de compra se cumple satisfactoriamente, sin embargo cuando entramos al historial de compras y verificamos el pedido no aparece. Se tiene que matar la app y esperar hasta que aparezca</t>
  </si>
  <si>
    <t>https://app.clickup.com/t/8499449/APP-261</t>
  </si>
  <si>
    <t>ID 07 Pago chedraui Super + vinos y licores</t>
  </si>
  <si>
    <t>Se completan los datos del usuario nuevo en el check, al Ingresar el nombre de la persona que recibe, no se guarda la información</t>
  </si>
  <si>
    <t>Usuario nuevo_Pre-Pago en tiendas Chedraui (Super + NR)</t>
  </si>
  <si>
    <t>Al agregar productos de Despensa + NR rompe flujo de compra no perfmite finalizar ya que envia mensaje Articulos no disponibles "desea eliminar"
Y cuando se realiza una compra de puro super mercado; no rompe flujo y termina la compra</t>
  </si>
  <si>
    <t>ID 8-12 Usuario Nuevo_Pre-Pago en establecimientos asociados Super NR.mp4</t>
  </si>
  <si>
    <t>24/09/2024 No permite realizar flijo transaccional con la combinacion de Super + NR</t>
  </si>
  <si>
    <t>Usuario nuevo_Pre-Pago en tiendas Chedraui (Super + Flete)</t>
  </si>
  <si>
    <t>ID 09 Pago en tiendas chedraui</t>
  </si>
  <si>
    <t xml:space="preserve">Usuario nuevo_Pre-Pago en tiendas Chedraui (Super + NR con existencia en tienda)										</t>
  </si>
  <si>
    <t>Se realiza la compra de manera exitosa</t>
  </si>
  <si>
    <t>leo</t>
  </si>
  <si>
    <t>Usuario nuevo_Pre-Pago en establecimientos asociados (super + vinos y licores)</t>
  </si>
  <si>
    <t xml:space="preserve">Si el cliente selecciona esta forma de pago debe tomar en cuenta que debe realizar el pago 2 horas antes de su entrega con el formato que recibio en su correo. 
Pago de un producto enviado por DHL 
Si el cliente tiene entre sus productos que pesen XXXX
 Pago rápido 
A tiendas 
Gestopago 
Multi recargas 
Extra 
Farmacias 
Benavides 
Circle K 
Kiosko K 
Asturiano 
7 Eleven
Mostrar botón “Pagar”, mismo que deberá permanecer apagado siempre que el usuario no haya completado/seleccionado todos los campos obligatorios. Una vez que el usuario complete todos estos campos, el botón se deberá encender para permitir al usuario continuar con el pago.
Si el pago es aceptado con éxito mostrar vista de pedido confirmado (consultar historia de usuario Confirmación de pago – checkout)
 Si el autorizador o banco rechaza el pago, se deberá mostrar al usuario los mensajes correspondientes al método de pago, y deberá regresarlo al formato del método de pago que haya seleccionado para su orden.
</t>
  </si>
  <si>
    <t>Se realiza el flujo de compra correctamente agregando super+ vinos y licores con pago en establecimientos asociados con nuevo usuario</t>
  </si>
  <si>
    <t>ID 11 Pago en establecimientos</t>
  </si>
  <si>
    <t>Los datos de la persona que recibe no se guardan correctamente desde el check</t>
  </si>
  <si>
    <t>Usuario nuevo_Pre-Pago en establecimientos asociados  (Super + NR)</t>
  </si>
  <si>
    <t xml:space="preserve">1. Ingresar a la App 2.0
2. Iniciar sesión
3. Agregar productos al carrito
4. Avanzar con el proceso del checkout hasta el paso 4
5. Elegir metodo de pago "Pre-pago en establecimientos asociadosi"
</t>
  </si>
  <si>
    <t>Usuario nuevo_Pre-Pago en establecimientos asociados (Super + Flete)</t>
  </si>
  <si>
    <t>Se realiza el flujo transaccional, envía consola Ps5 pero al consultar el inventario dice que no hay disponibilidad en web</t>
  </si>
  <si>
    <t>FAIL</t>
  </si>
  <si>
    <t>ID 13 Pago en establecimientos</t>
  </si>
  <si>
    <t>FAIl</t>
  </si>
  <si>
    <t xml:space="preserve">Usuario nuevo_Pre-Pago en establecimientos asociados (Super + NR con existencia en tienda)										</t>
  </si>
  <si>
    <t>ID 14 Usuario nuevo_Pre-Pago en establecimientos asociados Super NR con existencia en tienda.mp4</t>
  </si>
  <si>
    <t>Usuario recurrente_Pago con Vales de despensa_Productos (NR)</t>
  </si>
  <si>
    <t>4 EXPLORATORIAS</t>
  </si>
  <si>
    <t>Usuario recurrente_Pago Con puntos BBVA_Productos (Super)</t>
  </si>
  <si>
    <t>Al ingresar a la App como usuario nuevo , al ingresar productos en el carrito de "Super Mercado y Vinos/Licores", se continua la compra, en el  Check out paso 4 muestra Costo de Envio duplicado por $76 y al finalizar la compra se cobra  el costo de envio duplicad</t>
  </si>
  <si>
    <t>Usuario recurrente_Pago con puntos PAYPAL (NR + Flete)</t>
  </si>
  <si>
    <t>Usuario recurrente_Pago contra Entrega (NR)</t>
  </si>
  <si>
    <t xml:space="preserve">Se muestra correctamente el flujo de compra con pago contra entrega. </t>
  </si>
  <si>
    <t xml:space="preserve">Se seleccionó recoger en tienda; no carga el pedido en el historial y al regresar a home aparece el ID de tienda </t>
  </si>
  <si>
    <t>ID 21 Usuario recurrente_Pago contra Entrega (NR).mp4</t>
  </si>
  <si>
    <t>Usuario recurrente_Pre-Pago en tiendas Chedraui (super + vinos y licores)</t>
  </si>
  <si>
    <t>Se visualiza correctamente el flujo al realizar un pedido de vinos y licores + super pago en tiendas chedraui</t>
  </si>
  <si>
    <t>ID 22 Pago en tienda chedraui</t>
  </si>
  <si>
    <t>En la evidencia se ve que entro directo al historial de compras, sin embargo esta acción tardo un poco en mostrar el pedido realizado</t>
  </si>
  <si>
    <t>Usuario recurrente_Pre-Pago en tiendas Chedraui (Super + NR)</t>
  </si>
  <si>
    <t>ID 27-23 Usuario recurrente_Pre-Pago en establecimientos asociados Super NR.mp4</t>
  </si>
  <si>
    <t>Leo</t>
  </si>
  <si>
    <t>Usuario recurrente_Pre-Pago en tiendas Chedraui (Super + Flete)</t>
  </si>
  <si>
    <t>Se muestra correctamente el flujo de compra de productos de super + flete. En la confirmación de compra se muestra el método de pago como: offline (Pago en otros canales)</t>
  </si>
  <si>
    <t>ID 24 Pago en tiendas chedraui</t>
  </si>
  <si>
    <t>Se hace un sólo cobro de envío por $38.00 mxn</t>
  </si>
  <si>
    <t xml:space="preserve">Usuario recurrente_Pre-Pago en tiendas Chedraui (Super + NR con existencia en tienda)										</t>
  </si>
  <si>
    <t>Se realiza la compra de manera exitosa con usuario recurrente</t>
  </si>
  <si>
    <t>ID 25 Usuario recurrente_Pre-Pago en tiendas Chedraui (Super + NR con existencia en tienda).mp4</t>
  </si>
  <si>
    <t>Usuario recurrente_Pre-Pago en establecimientos asociados (super + vinos y licores)</t>
  </si>
  <si>
    <t>Se realiza el flujo de compra correctamente agregando super+ vinos y licores con pago en establecimientos asociados</t>
  </si>
  <si>
    <t>ID 26 Pago en establecimientos</t>
  </si>
  <si>
    <t>Usuario recurrente_Pre-Pago en establecimientos asociados  (Super + NR)</t>
  </si>
  <si>
    <t>Usuario recurrente_Pre-Pago en establecimientos asociados (Super + Flete)</t>
  </si>
  <si>
    <t>Se ejecuta flujo exitoso</t>
  </si>
  <si>
    <t>ID 28 Pago en establecimientos</t>
  </si>
  <si>
    <t>En el historial de pedido no se muestra el pedido realizado</t>
  </si>
  <si>
    <t xml:space="preserve">Usuario recurrente_Pre-Pago en establecimientos asociados (Super + NR con existencia en tienda)										</t>
  </si>
  <si>
    <t>Se realiza la compra de manera correcta</t>
  </si>
  <si>
    <t>ID 29 Usuario recurrente_Pre-Pago en establecimientos asociados (Super + NR con existencia en tienda).mp4</t>
  </si>
  <si>
    <t xml:space="preserve">1. Ingresar a la App 2.0
2. Iniciar sesión
3. Agregar productos al carrito
4. Avanzar con el proceso del checkout hasta el paso 4
5. Elegir metodo de pago "Tarjeta de credito/debito"
6. Realizar la compra
7. Dar click en repetir compra
</t>
  </si>
  <si>
    <t>Al terminar la compra y repetir se agrega la cantidad de productos al carrito de compras, sin embargo al abrir el carrito no muestra items</t>
  </si>
  <si>
    <t>https://app.clickup.com/t/8499449/APP-252</t>
  </si>
  <si>
    <t>ID 31 Repetir compra FAIL</t>
  </si>
  <si>
    <t>Se realiza doble compra de manera correcta</t>
  </si>
  <si>
    <t>https://app.clickup.com/t/8499449/APP-253</t>
  </si>
  <si>
    <t>ID 32 Usuario Recurrente realiza una segunda compra.mp4</t>
  </si>
  <si>
    <t>Se realiza pago en Establecimientos asociados</t>
  </si>
  <si>
    <t>1. Con cuenta NUEVA, No es posible completar la compra con productos NR (SKU: 3631151, 3675337 y 3830134), ya que el proceso se quedó cargando indefinidamente en el primer paso y no me permitió continuar con la compra. Fue necesario cerrar por completo toda la aplicacion para lograr continuar con la compra.</t>
  </si>
  <si>
    <t>ID 6 Usuario nuevo pago contraentrega NR_20240925_091926_Chedraui.mp4</t>
  </si>
  <si>
    <t>25/09/2024 1. Con cuenta NUEVA, No es posible completar la compra con productos NR (SKU: 3631151, 3675337 y 3830134), ya que el proceso se quedó cargando indefinidamente en el primer paso y no me permitió continuar con la compra. Fue necesario cerrar por completo toda la aplicacion para lograr continuar con la compra.</t>
  </si>
  <si>
    <t>OK</t>
  </si>
  <si>
    <t>Con cuenta Nueva, Al añadir productos de despensa (3102848, 3102851, 3102859, 3204534, 3184810) junto con productos NR (3675337, consola Nintendo Switch 1.1 neon), el flujo de compra se interrumpe y no permite finalizar. Aparece un mensaje indicando que los artículos no están disponibles y pregunta si se desean eliminar, mencionando que solo están disponibles para recogida. Al seleccionar la opción de recogida, inicialmente muestra la tienda correspondiente, pero luego cambia a la dirección de envío que estaba configurada desde el principio.</t>
  </si>
  <si>
    <t>FALLADO</t>
  </si>
  <si>
    <t>Usuario nuevo super + NR_20240925_105755_Chedraui.mp4</t>
  </si>
  <si>
    <t>No se permite continuar al pago con productos NR</t>
  </si>
  <si>
    <t xml:space="preserve">Fallado </t>
  </si>
  <si>
    <t>ID 21 FAIL Pago contra entrega NR</t>
  </si>
  <si>
    <t>25/09/2024 Se selecciona recoger en tienda productos NR el cuál no deja avanzar al pago, y la dirección de la tienda desaparece después de ir al carrito de compras</t>
  </si>
  <si>
    <t>Se ejecuta flujo de compra exitoso con productos NR + Súper con pago en tienda Chedraui</t>
  </si>
  <si>
    <t>ID 23 Pago en tienda chedraui super y NR</t>
  </si>
  <si>
    <t>ID 24 Usuario recurrente pago en tiendas chedraui</t>
  </si>
  <si>
    <t>ID 25 Usuario recurrente pago en tienda super y NR</t>
  </si>
  <si>
    <t>ID 26 Usuario recurrente pago en establecimientos</t>
  </si>
  <si>
    <t xml:space="preserve">                         </t>
  </si>
  <si>
    <t>Se ejecuta flujo de compra exitoso con productos NR + Súper con pago en establecimientos</t>
  </si>
  <si>
    <t>ID 27 Usuario recurrente Pago en establecimientos super y NR</t>
  </si>
  <si>
    <t>ID 28 Usuario recurrente pago en establecimientos</t>
  </si>
  <si>
    <t>ID 29 Usuario recurrente pago en establecimientos super y NR</t>
  </si>
  <si>
    <t>El botón de repetir compa muestra que ya fuero agregados los productos al carrito, sin embargo al abrirlo no muestra productos</t>
  </si>
  <si>
    <t>Media</t>
  </si>
  <si>
    <t>Repetir compra desde mis pedidos</t>
  </si>
  <si>
    <t xml:space="preserve">No se visualizan los productos en carrito al realizar una segunda compra desde mis pedidos, y desde confirmación de compra no se agregan los items a carrito terminando un 2do o 3er flujo </t>
  </si>
  <si>
    <t>Repetir compra 2do, 3er flujo - confirmación de compra</t>
  </si>
  <si>
    <t>Oscar</t>
  </si>
  <si>
    <t>ID6-Usuario nuevo_Pago contra Entrega (NR).mp4</t>
  </si>
  <si>
    <t>Esto pasa cuando culminas un flujo de compra y en el paso para visualizar la pantalla de detalle de pedido despues de la confirmacion de la compra la app crashea, completa el pedido pero no muestra el detalle del pedido</t>
  </si>
  <si>
    <t>Se realiza el flujo de compra con prepago de manera exitosa</t>
  </si>
  <si>
    <t>ID8-Usuario nuevo_Pre-Pago en tiendas Chedraui (Super + NR).mp4</t>
  </si>
  <si>
    <t>ID10-Usuario nuevo_Pre-Pago en tiendas Chedraui Super + NR con existencia en tienda.mp4</t>
  </si>
  <si>
    <t>Al finalizar el pedido dirreciona a Store theme donde se vizualiza "Gracias por su compra" y el detalle de esta</t>
  </si>
  <si>
    <t>Se valida la compra exitosa con usuario nuevo</t>
  </si>
  <si>
    <t>ID12-Usuario nuevo_Pre-Pago en establecimientos asociados (Super + NR).mp4</t>
  </si>
  <si>
    <t>ID14-Usuario nuevo_Pre-Pago en establecimientos asociados (Super + NR con existencia en tienda.mp4</t>
  </si>
  <si>
    <t>https://app.clickup.com/t/8499449/APP-260</t>
  </si>
  <si>
    <t>ID21-Usuario recurrente_Pago contra Entrega (NR).mp4</t>
  </si>
  <si>
    <t>ID23- Usuario recurrente_Pre-Pago en tiendas Chedraui (Super + NR).mp4</t>
  </si>
  <si>
    <t xml:space="preserve">UUsuario recurrente_Pre-Pago en tiendas Chedraui (Super + NR con existencia en tienda)										</t>
  </si>
  <si>
    <t>ID25- Usuario recurrente Pre-Pago en tiendas Chedraui (Super + NR con existencia en tienda.mp4</t>
  </si>
  <si>
    <t>ID27- Usuario recurrente_Pre-Pago en establecimientos asociados (Super + NR).mp4</t>
  </si>
  <si>
    <t>ID29-Usuario recurrente_Pre-Pago en establecimientos asociados (Super + NR con existencia en tienda).mp4</t>
  </si>
  <si>
    <t>ID32-Usuario Recurrente realiza una segunda compra.mp4</t>
  </si>
  <si>
    <t>Luis</t>
  </si>
  <si>
    <t>ID01 - Flujos transaccionales (707).mp4</t>
  </si>
  <si>
    <t>Chucho</t>
  </si>
  <si>
    <t>ID 2 UsuarioNuevo_Contraentrega.mp4</t>
  </si>
  <si>
    <t>ID 7 Crasheo en pantalla de pedido.mp4</t>
  </si>
  <si>
    <t>Jesus</t>
  </si>
  <si>
    <t>Este incidente ocurre cuando hay un cambio de cuentas es decir, cuando inicioas con usuario recurrente y cambias a usuario nuevo.
Cuando intentas hacer un flujo transaccional, el flujo falla en checkout paso 3 poque no cargan los timeslot y se queda asi indefinidamente y si se sale del checkout y se intenta hacer pero con otros productos se obtiene el mismo comportamiento</t>
  </si>
  <si>
    <t>ID 8 Cambio de usuario no respeta localización actual.mp4</t>
  </si>
  <si>
    <t>ID de azure: https://dev.azure.com/chedrauiOmnicanal/AppNativa/_boards/board/t/UAT/Backlog%20items</t>
  </si>
  <si>
    <t>ID 9 UsuarioNuevo_Chedraui.mp4</t>
  </si>
  <si>
    <t>ID10-capture_01.png</t>
  </si>
  <si>
    <t>ID11 - Flujos transaccionales.mp4</t>
  </si>
  <si>
    <t>ID 12 UsuarioNuevo_Establecimientos.mp4</t>
  </si>
  <si>
    <t>ID13-Usuario nuevo_Pre-Pago en establecimientos asociados (Super + Flete).png</t>
  </si>
  <si>
    <t>ID14 - Flujos transaccionales.mp4</t>
  </si>
  <si>
    <t>ID 20 UsusarioRecurrente_Contraentrega.mp4</t>
  </si>
  <si>
    <t>id21-Usuario recurrente_Pago contra Entrega (NR).png</t>
  </si>
  <si>
    <t>ID22 - Flujos transaccionales.mp4</t>
  </si>
  <si>
    <t>ID 23 UsusarioRecurrente_Contraentrega.mp4</t>
  </si>
  <si>
    <t>|</t>
  </si>
  <si>
    <t>id24-Usuario recurrente_Pre-Pago en tiendas Chedraui (Super + Flete).png</t>
  </si>
  <si>
    <t>ID25 - Flujo transaccional.mp4</t>
  </si>
  <si>
    <t>ID 26 UsusarioRecurrente_Establecimientos.mp4</t>
  </si>
  <si>
    <t>id27-Usuario recurrente_Pre-Pago en establecimientos asociados (Super + NR).png</t>
  </si>
  <si>
    <t>ID28 - Flujos transaccionales.mp4</t>
  </si>
  <si>
    <t>ID 29 UsuarioRecurrente_Establecimientos.mp4</t>
  </si>
  <si>
    <t>id31-Usuario recurrente da click en Repetir compraThumbnails.png</t>
  </si>
  <si>
    <t>ID32 - Flujo transaccional .mp4</t>
  </si>
  <si>
    <t>Bloqueado</t>
  </si>
  <si>
    <t>ID7-Usuario nuevo_Pre-Pago en tiendas Chedraui (super + vinos y licores)_20240807_100206_Chedraui.png</t>
  </si>
  <si>
    <t>ID08 - Flujos transaccionales (707).mp4</t>
  </si>
  <si>
    <t>Exitosa</t>
  </si>
  <si>
    <t>ID01 - Flujos transaccionales.mp4</t>
  </si>
  <si>
    <t>N/A</t>
  </si>
  <si>
    <t>ID 6 Usuario nuevo_Pago contra Entrega (NR).mp4</t>
  </si>
  <si>
    <t>Pedido #1451525151640-01</t>
  </si>
  <si>
    <t>ID7 - 01_Evidencia-Prueba-2024-08-02 10h15_15.png</t>
  </si>
  <si>
    <t>#1451525151811-01</t>
  </si>
  <si>
    <t>ID08 - Flujos transaccionales.mp4</t>
  </si>
  <si>
    <t>Pedido #1451525151729-01</t>
  </si>
  <si>
    <r>
      <rPr>
        <sz val="11"/>
        <color rgb="FF000000"/>
        <rFont val="Calibri"/>
        <scheme val="minor"/>
      </rPr>
      <t xml:space="preserve">Cuando se agregan los productos: </t>
    </r>
    <r>
      <rPr>
        <b/>
        <sz val="11"/>
        <color rgb="FF000000"/>
        <rFont val="Calibri"/>
        <scheme val="minor"/>
      </rPr>
      <t xml:space="preserve">Whisky Johnnie Walker Red Label Blended Scotch 700ml
1 unidad + Echo Dot 5 con Reloj Bocina inteligente con Alexa Blanco
1 unidad </t>
    </r>
    <r>
      <rPr>
        <sz val="11"/>
        <color rgb="FF000000"/>
        <rFont val="Calibri"/>
        <scheme val="minor"/>
      </rPr>
      <t xml:space="preserve">y pasar al checkout cambia la disponibilidad del producto Whisky en recoger en, pero si se hace la prueba en Web produccion el Whisky mantiene su disponibilidad y se visualiza correctamente los costos de envio.
La evidencia de web esta en comentarios, la direccion utilizada es esta: </t>
    </r>
    <r>
      <rPr>
        <b/>
        <sz val="11"/>
        <color rgb="FF000000"/>
        <rFont val="Calibri"/>
        <scheme val="minor"/>
      </rPr>
      <t>Avenida Constituyentes, 1150, Lomas Altas, CIUDAD DE MÉXICO</t>
    </r>
  </si>
  <si>
    <t>Alta</t>
  </si>
  <si>
    <t>ID 9 Usuario nuevo_Pre-Pago en tiendas Chedraui (Super + Flete).mp4</t>
  </si>
  <si>
    <t>ID 9 Usuario nuevo_Pre-Pago en tiendas Chedraui (Super + Flete) WEB.mp4</t>
  </si>
  <si>
    <t>ID10 - 01_Evidencia-Prueba-2024-08-02 11h02_34.png</t>
  </si>
  <si>
    <t xml:space="preserve"># 1451535152348-01
</t>
  </si>
  <si>
    <t>Pedido 
#1451535152105-01</t>
  </si>
  <si>
    <t>ID 12 Usuario nuevo_Pre-Pago en establecimientos asociados (Super + NR).mp4</t>
  </si>
  <si>
    <t>id13 - 01_Evidencia-Prueba-2024-08-02 11h24_52.png</t>
  </si>
  <si>
    <t>#1451535152585-01</t>
  </si>
  <si>
    <t>Pedido
#1451535152377-01</t>
  </si>
  <si>
    <t>ID 20 Usuario recurrente_Pago contra Entrega (NR).mp4</t>
  </si>
  <si>
    <t>id21- 01_Evidencia-Prueba-2024-08-02 11h40_43.png</t>
  </si>
  <si>
    <t xml:space="preserve"># 1451545152761-01
</t>
  </si>
  <si>
    <t>Pedido
#1451545152684-01</t>
  </si>
  <si>
    <t xml:space="preserve">Alta </t>
  </si>
  <si>
    <t>ID 23 Chedraui.mp4</t>
  </si>
  <si>
    <t>Direccion: Lomas de Castilla, 10, Lomas de Coacalco seccion Bosques, ESTADO DE MÉXICO
Sucursal que atiende Chedraui plaza coacalco</t>
  </si>
  <si>
    <t>id 24 - 01_Evidencia-Prueba-2024-08-02 12h06_49.png</t>
  </si>
  <si>
    <t># 1451545153003-01</t>
  </si>
  <si>
    <t>ID25 - Flujos transaccionales.mp4</t>
  </si>
  <si>
    <t>ID 26 Usuario recurrente_Pre-Pago en establecimientos asociados (super + vinos y licores).mp4</t>
  </si>
  <si>
    <t>id27-01_Evidencia-Prueba-2024-08-02 12h14_21.png</t>
  </si>
  <si>
    <t># 1451545153104-01</t>
  </si>
  <si>
    <t>Pedido
#1451545153037-01</t>
  </si>
  <si>
    <t>ID 31- 01_Evidencia-Prueba-2024-08-02 12h22_59.png</t>
  </si>
  <si>
    <t># 1451545153191-01</t>
  </si>
  <si>
    <t>ID32 - Flujo transaccional.mp4</t>
  </si>
  <si>
    <t>Pedido
#1451555153270-01</t>
  </si>
  <si>
    <t>OK, permite seleccionar los 7 tipos de Pagos disponibles</t>
  </si>
  <si>
    <t>ID01_FLUJOS TRANSACCIONALES.mp4</t>
  </si>
  <si>
    <t>Al ingresar a la aplicacion con un usuario nuevo y agregar 30 productos todos de super (Pesables) y avanzar al checkout no permite terminar la compra en establecimientos asociados. Aparece un aviso de error "El item platano macho por Kg no posee todos los anexos obligatorios diligenciados"</t>
  </si>
  <si>
    <t>OK, permite el pago contra entrega
#1448155045940_01</t>
  </si>
  <si>
    <t>ID06_FLUJOS TRANSACCIONALES.mp4</t>
  </si>
  <si>
    <t>OK, permite el Pre-pago en Otra Tiendas Chedraui
1448165046197.01</t>
  </si>
  <si>
    <t>ID07_FLUJOS TRANSACCIONALES.mp4</t>
  </si>
  <si>
    <t>OK, permite el Pre-pago en Otra Tiendas Chedraui
1448165046671-01</t>
  </si>
  <si>
    <t>ID08_FLUJOS TRANSACCIONALES.mp4</t>
  </si>
  <si>
    <t>OK, permite el Pre-pago en Otra Tiendas Chedraui
1448165046867-01</t>
  </si>
  <si>
    <t>ID09_FLUJO TRANSACCIONALES.mp4</t>
  </si>
  <si>
    <t>OK, permite el Pre-pago en Otra Tiendas Chedraui
1448175047108-01</t>
  </si>
  <si>
    <t>ID10_FLUJOS TRANSACCIONALES.mp4</t>
  </si>
  <si>
    <t>OK, permite el Pre-pagp en Establecimientos Asociados
Pero en el Check Out Paso 4 al seleccionar Prepago en estabecimientos asociados no se muestra completo los iconos de pago, no esta el mensaje de instruccion de pago (min 5:30) y al resivir la confirmacion de pedido por correo no llegan 2 correos (min 14:17) y al abrir el pdf no estan todos los iconos de pago de establecimientos asociados (min 15:27)
1448175047295-01</t>
  </si>
  <si>
    <t>por probar</t>
  </si>
  <si>
    <t>ID11_FLUJOS TRANSACCIONALES.mp4</t>
  </si>
  <si>
    <t>ID11- 🟡Media - Usuario nuevo_Pre-Pago en establecimientos asociados (super + vinos y licores) | APP-1061 (clickup.com)</t>
  </si>
  <si>
    <t>ID 12 Establecimientos asociados.mp4</t>
  </si>
  <si>
    <t>ID 13 Establecimientos.mp4</t>
  </si>
  <si>
    <t>ID 14 Establecimientos asociados.mp4</t>
  </si>
  <si>
    <t>ID 20 Recurrente.mp4</t>
  </si>
  <si>
    <t>ID 21 Contra entrega.mp4</t>
  </si>
  <si>
    <t>ID 22 Chedraui.mp4</t>
  </si>
  <si>
    <t>1. Cuando agrego productos de super con un producto de NR (SKUs: 3102848, 3102823, 3102779, 3102789, 3102786, 3123829) con el metodo de enviar a, cambia la disponibilidad de los productos en checkout paso 1 siendo que estaban disponibles para enviar desde el principio
2.- Cuando los borro para continuar con la compra no los borra aparece un mensaje que indica cuantos productos no estan disponibles para ese envio pero ya los habia borrado
3.- En checkout paso 3 siguen apareciendo los productos que se supone ya habia borrado y al darle click en ir al pago se cicla y me vuelve a mostrar el paso 3 de checkout</t>
  </si>
  <si>
    <t>ok- solo incovenientes con el performance</t>
  </si>
  <si>
    <t>ID 24 F Transaccional 696 app_20240719_092738_Chedraui.mp4</t>
  </si>
  <si>
    <t>ID 25 FT 696_20240719_093523_Chedraui.mp4</t>
  </si>
  <si>
    <t>id 26 ft 696_20240719_094145_Chedraui.mp4</t>
  </si>
  <si>
    <t>ID 27 FT 696_20240719_095756_Chedraui.mp4</t>
  </si>
  <si>
    <t>ID 28 F Transaccional 696 app_20240719_092738_Chedraui.mp4</t>
  </si>
  <si>
    <t>ID 29 FT 696_20240719_093523_Chedraui.mp4</t>
  </si>
  <si>
    <t>id 31 y 32 ft 696_20240719_101315_Chedraui.mp4</t>
  </si>
  <si>
    <t>Al ingresar a la aplicacion con un usurio nuevo y agregar 30 productos todos de super (Pesables) y avanzar al checkout no permite terminar la compra en establecimientos asociados. Aparece un aviso de error "El item platano macho por Kg no posee todos los anexos obligatorios diligenciados"</t>
  </si>
  <si>
    <t>EXITOSO</t>
  </si>
  <si>
    <t>-El sistema si bloquea el método de pago con vales, debido a la regla de negocio</t>
  </si>
  <si>
    <t xml:space="preserve">Exitoso </t>
  </si>
  <si>
    <t>OK con "Pre-pago en otras tiendas Chedraui" #1442704887885-01</t>
  </si>
  <si>
    <t>OK con "Pre-pago en otras tiendas Chedraui" #1442714887929-01</t>
  </si>
  <si>
    <t>Al relizar el "Pre-Pago en establecimientos asociados" en la APP no se vizulizan por completo las intrucciones de pago y los establecimientos (7 Eleven) y al recibir el correo de linea de captura no concuerdan los establecimientos  del Pdf con los de la APP</t>
  </si>
  <si>
    <t>Al relizar el "Pre-Pago en establecimientos asociados" en la APP no se vizulizan las intrucciones de pago y los establecimientos (7 Eleven) y al recibir el correo de linea de captura no concuerdan los establecimientos  del Pdf con los de la APP</t>
  </si>
  <si>
    <t>ID13- 🟡Media - Usuario nuevo_Pre-Pago en establecimientos asociados (Super + Flete) | APP-1062 (clickup.com)</t>
  </si>
  <si>
    <t>OK "Pago contra entrega" #1442714888116-01</t>
  </si>
  <si>
    <t>OK Pre-Pago en tiendas Chedraui #1442714888150-01</t>
  </si>
  <si>
    <t>OK "Pre-Pago en tiendas Chedraui " #1442704887842-01</t>
  </si>
  <si>
    <t>ID26 - FLUJOS TRANSACCIONALES.mp4</t>
  </si>
  <si>
    <t>ID28 - FLUJOS TRANSACCIONALES.mp4</t>
  </si>
  <si>
    <t>OK tarjeta de crédito / débito # 1442724888209_01</t>
  </si>
  <si>
    <t>Se vizualizan los 7 metodos de pago</t>
  </si>
  <si>
    <t>Todo OK
#1441464853078-01</t>
  </si>
  <si>
    <t>Pre-pago en otras tiendas Chedraui #1441464853346-01</t>
  </si>
  <si>
    <t>Todo OK
#1441464853160-01</t>
  </si>
  <si>
    <t>Pre-pago en otras tiendas Chedraui 1441464853422-01</t>
  </si>
  <si>
    <t>Todo OK
#1441464853225-01</t>
  </si>
  <si>
    <t>OK Pre-pago en otras tiendas Chedraui 1441474853535-01</t>
  </si>
  <si>
    <t>Todo OK
#1441464853256-01</t>
  </si>
  <si>
    <t>OK Pre-pago en establecimientos asociadosi #1441474853582-01</t>
  </si>
  <si>
    <t>Todo OK
#1441464853355-01</t>
  </si>
  <si>
    <t>Ok Pago Contra entrega 1441474853643-01</t>
  </si>
  <si>
    <t>Ok Pago Contra entrega 1441474853829-01</t>
  </si>
  <si>
    <t>Ok Pre-pago en otras tiendas Chedraui 1441474853705-01</t>
  </si>
  <si>
    <t>Ok Pago Contra entrega 1441474853229-01</t>
  </si>
  <si>
    <t>OK  "Pre-pago en otras tiendas Chedraui" #1441474853802-01</t>
  </si>
  <si>
    <t>Al realizar Pago en establecimientos asociados no se muestra la leyenda de pago correctamente ya que no aparasen completos los establecimientos. Minuto 1:56
Y al recibir el correo de confirmación no aparecen los mismos establecimientos para completar el pago. Minuto 2:57</t>
  </si>
  <si>
    <t>ID26-🟡Media - Usuario recurrente_Pre-Pago en establecimientos asociados (super + vinos y licores) | APP-1059 (clickup.com)</t>
  </si>
  <si>
    <t>No cumple con el prototipo en el correo que se envía al usuario
No se visualizan centraras las indicaciones en la app, asi como todos los establecimientos asociados (El de 7Seven, se ve cortado)</t>
  </si>
  <si>
    <t>https://app.clickup.com/t/86dtwpvtd</t>
  </si>
  <si>
    <t>Al realizar Pago en establecimientos asociados no se muestra la leyenda de pago correctamente ya que no aparasen completos los establecimientos. Minuto 2:26
 Y al recibir el correo de confirmación no aparecen los mismos establecimientos para completar el pago. Minuto 3:43</t>
  </si>
  <si>
    <t>ID28-🟡Media - Usuario recurrente_Pre-Pago en establecimientos asociados (Super + Flete) | APP-1060 (clickup.com)</t>
  </si>
  <si>
    <t>Y al recibir el correo de confirmación no aparecen los mismos establecimientos para completar el pago. Minuto 3:43</t>
  </si>
  <si>
    <t>OK Pago con Tarjeta de credito/debito #1442164873350-01 #1442164873381-01</t>
  </si>
  <si>
    <t>OK Pago con Tarjeta de credito/debito #1442164873429-01 #1442164873464-01</t>
  </si>
  <si>
    <t xml:space="preserve">Estatus </t>
  </si>
  <si>
    <t>Liga de evidencias</t>
  </si>
  <si>
    <t>El sistema si habilita todas las formas de pago</t>
  </si>
  <si>
    <t>Si  llego el primer correo de confirmacion de correos transacional.
Numero de Orden: 1440514830604-01</t>
  </si>
  <si>
    <t>id 6 correos transaccional_20240617_132708_Chedraui (1).mp4</t>
  </si>
  <si>
    <t xml:space="preserve">-el sistema si genera de forma exitosa la compra Numero de Orden: 1440494829526-01 </t>
  </si>
  <si>
    <t>Ok, Sí  llegaron 2 correos transacional y adenas el pdf. todo el flujo se ejecuto correctamente
Numero de Orden: 0267-4830925</t>
  </si>
  <si>
    <t>ID 11 Correo transaccional_20240617_141229_Brave.mp4</t>
  </si>
  <si>
    <t>-El sistema no divide los paquetes de DHL y el super, y solo cobra un costo de envío</t>
  </si>
  <si>
    <t>1. Con la opción de recolectar en el paso 3 de entrega, se presentaron dos opciones de punto de recogida. En la segunda se mencionaba productos de chedraui APP, sin embargo, no se evidenciaba tiemposlot, lo que podría generar conflictos durante el proceso de compra.
SKU: 3102859, 3102869, 3102851, 3631151.
*Tienda: Chedraui celaya campestre- pp0267</t>
  </si>
  <si>
    <t>MEDIA</t>
  </si>
  <si>
    <t>ID 14 flujos TRANSACCIONALES_20240617_143317_Chedraui.mp4</t>
  </si>
  <si>
    <t>-El sistema no divide los paquetes y solo cobra un costo de envío</t>
  </si>
  <si>
    <t>id 20 flujo transacional_20240617_154318_Chedraui.mp4</t>
  </si>
  <si>
    <t>1. Llegaron tanto el correo y el ticket digital correspondiente para poder realizar el pago en tiensa chedraui.</t>
  </si>
  <si>
    <t>ID 24 flujo transacional_20240617_155813_Chedraui.mp4</t>
  </si>
  <si>
    <t xml:space="preserve"> </t>
  </si>
  <si>
    <t>Total General</t>
  </si>
  <si>
    <t>Diseñados</t>
  </si>
  <si>
    <t>Planeados</t>
  </si>
  <si>
    <t>Ejecutados</t>
  </si>
  <si>
    <t>Exitosos</t>
  </si>
  <si>
    <t>Fallados</t>
  </si>
  <si>
    <t>Bloquedos</t>
  </si>
  <si>
    <t>Por Probar</t>
  </si>
  <si>
    <t>% Planeado</t>
  </si>
  <si>
    <t>% Real Exitoso</t>
  </si>
  <si>
    <t>Desviación</t>
  </si>
  <si>
    <t>Defectos Abiertos</t>
  </si>
  <si>
    <t>S1</t>
  </si>
  <si>
    <t>S2</t>
  </si>
  <si>
    <t>S3</t>
  </si>
  <si>
    <t>S4</t>
  </si>
  <si>
    <t>Chedraui 
Siempre en Línea</t>
  </si>
  <si>
    <t>Ejecución</t>
  </si>
  <si>
    <t>Bloqueados</t>
  </si>
  <si>
    <t>Fecha Planeada</t>
  </si>
  <si>
    <t>Fecha Real</t>
  </si>
  <si>
    <t xml:space="preserve">Flujos transaccionales </t>
  </si>
  <si>
    <t>TBD</t>
  </si>
  <si>
    <t>IOS</t>
  </si>
  <si>
    <t>ANDROID</t>
  </si>
  <si>
    <t>Tarjeta de vales de despensa</t>
  </si>
  <si>
    <t>Tarjeta de crédito o débito</t>
  </si>
  <si>
    <t>Pago con Puntos BBVA</t>
  </si>
  <si>
    <t>PayPal (Tarj. Nal e Internacional)</t>
  </si>
  <si>
    <t>Pago contraentrega (al recibir tu pedido)</t>
  </si>
  <si>
    <t>Vales de Colaborador Chedraui</t>
  </si>
  <si>
    <t>Tipos de pago</t>
  </si>
  <si>
    <t>Forma Pago</t>
  </si>
  <si>
    <t>Mes</t>
  </si>
  <si>
    <t>Nombre</t>
  </si>
  <si>
    <t>NumeroTarjeta</t>
  </si>
  <si>
    <t>Codigo</t>
  </si>
  <si>
    <t>Meses</t>
  </si>
  <si>
    <t>Ano</t>
  </si>
  <si>
    <t>Tipo</t>
  </si>
  <si>
    <t>Debito</t>
  </si>
  <si>
    <t>Credito</t>
  </si>
  <si>
    <t>Pruebas Negativas</t>
  </si>
  <si>
    <t>Vales</t>
  </si>
  <si>
    <t>Tarjeta</t>
  </si>
  <si>
    <t>Paypal</t>
  </si>
  <si>
    <t>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</si>
</sst>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0"/>
      <color rgb="FFFFFFFF"/>
      <name val="Arial"/>
      <family val="2"/>
    </font>
    <font>
      <u/>
      <sz val="11"/>
      <color theme="10"/>
      <name val="Calibri"/>
      <family val="2"/>
      <scheme val="minor"/>
    </font>
    <font>
      <sz val="11"/>
      <color theme="0"/>
      <name val="Calibri"/>
      <family val="2"/>
      <scheme val="minor"/>
    </font>
    <font>
      <sz val="11"/>
      <color rgb="FFFF0000"/>
      <name val="Calibri"/>
      <family val="2"/>
      <scheme val="minor"/>
    </font>
    <font>
      <sz val="11"/>
      <color rgb="FF000000"/>
      <name val="Calibri"/>
      <family val="2"/>
      <scheme val="minor"/>
    </font>
    <font>
      <b/>
      <sz val="10"/>
      <color rgb="FFFFFFFF"/>
      <name val="Arial"/>
    </font>
    <font>
      <sz val="11"/>
      <color theme="1"/>
      <name val="Calibri"/>
      <family val="2"/>
      <scheme val="minor"/>
    </font>
    <font>
      <sz val="10"/>
      <name val="Arial"/>
      <family val="2"/>
    </font>
    <font>
      <sz val="10"/>
      <color indexed="8"/>
      <name val="Tahoma"/>
      <family val="2"/>
    </font>
    <font>
      <b/>
      <sz val="10"/>
      <color indexed="8"/>
      <name val="Tahoma"/>
      <family val="2"/>
    </font>
    <font>
      <b/>
      <sz val="12"/>
      <color indexed="9"/>
      <name val="Arial"/>
      <family val="2"/>
    </font>
    <font>
      <sz val="8"/>
      <color indexed="8"/>
      <name val="Arial"/>
      <family val="2"/>
    </font>
    <font>
      <b/>
      <sz val="10"/>
      <color indexed="9"/>
      <name val="Arial"/>
      <family val="2"/>
    </font>
    <font>
      <b/>
      <sz val="10"/>
      <name val="Arial"/>
      <family val="2"/>
    </font>
    <font>
      <b/>
      <sz val="11"/>
      <color indexed="9"/>
      <name val="Arial"/>
      <family val="2"/>
    </font>
    <font>
      <sz val="10"/>
      <color indexed="8"/>
      <name val="Arial"/>
      <family val="2"/>
    </font>
    <font>
      <sz val="10"/>
      <name val="Arial Unicode MS"/>
      <family val="2"/>
    </font>
    <font>
      <sz val="12"/>
      <name val="Arial"/>
      <family val="2"/>
    </font>
    <font>
      <b/>
      <sz val="12"/>
      <color indexed="8"/>
      <name val="Arial"/>
      <family val="2"/>
    </font>
    <font>
      <b/>
      <sz val="11"/>
      <color rgb="FF000000"/>
      <name val="Calibri"/>
      <family val="2"/>
      <scheme val="minor"/>
    </font>
    <font>
      <sz val="12"/>
      <color indexed="8"/>
      <name val="Consolas"/>
      <family val="2"/>
    </font>
    <font>
      <sz val="12"/>
      <color theme="0"/>
      <name val="Consolas"/>
      <family val="2"/>
    </font>
    <font>
      <sz val="11"/>
      <color rgb="FF000000"/>
      <name val="Calibri"/>
      <scheme val="minor"/>
    </font>
    <font>
      <b/>
      <sz val="11"/>
      <color rgb="FF000000"/>
      <name val="Calibri"/>
      <scheme val="minor"/>
    </font>
    <font>
      <u/>
      <sz val="11"/>
      <color theme="1"/>
      <name val="Calibri"/>
      <family val="2"/>
      <scheme val="minor"/>
    </font>
  </fonts>
  <fills count="19">
    <fill>
      <patternFill patternType="none"/>
    </fill>
    <fill>
      <patternFill patternType="gray125"/>
    </fill>
    <fill>
      <patternFill patternType="solid">
        <fgColor rgb="FF00B0F0"/>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5"/>
        <bgColor indexed="64"/>
      </patternFill>
    </fill>
    <fill>
      <patternFill patternType="solid">
        <fgColor rgb="FF92D050"/>
        <bgColor indexed="64"/>
      </patternFill>
    </fill>
    <fill>
      <patternFill patternType="solid">
        <fgColor rgb="FFFFFF00"/>
        <bgColor indexed="64"/>
      </patternFill>
    </fill>
    <fill>
      <patternFill patternType="solid">
        <fgColor theme="2"/>
        <bgColor indexed="64"/>
      </patternFill>
    </fill>
    <fill>
      <patternFill patternType="solid">
        <fgColor rgb="FF00B050"/>
        <bgColor indexed="64"/>
      </patternFill>
    </fill>
    <fill>
      <patternFill patternType="solid">
        <fgColor rgb="FFFF0000"/>
        <bgColor indexed="64"/>
      </patternFill>
    </fill>
    <fill>
      <patternFill patternType="solid">
        <fgColor indexed="9"/>
        <bgColor indexed="64"/>
      </patternFill>
    </fill>
    <fill>
      <patternFill patternType="solid">
        <fgColor indexed="8"/>
        <bgColor indexed="64"/>
      </patternFill>
    </fill>
    <fill>
      <patternFill patternType="solid">
        <fgColor theme="0"/>
        <bgColor indexed="64"/>
      </patternFill>
    </fill>
    <fill>
      <patternFill patternType="solid">
        <fgColor theme="9" tint="-0.249977111117893"/>
        <bgColor indexed="64"/>
      </patternFill>
    </fill>
    <fill>
      <patternFill patternType="solid">
        <fgColor indexed="2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0.1499984740745262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diagonal/>
    </border>
    <border>
      <left style="medium">
        <color rgb="FFCCCCCC"/>
      </left>
      <right style="thick">
        <color rgb="FF000000"/>
      </right>
      <top style="thick">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rgb="FF000000"/>
      </right>
      <top style="thin">
        <color rgb="FF000000"/>
      </top>
      <bottom style="thin">
        <color rgb="FF000000"/>
      </bottom>
      <diagonal/>
    </border>
  </borders>
  <cellStyleXfs count="4">
    <xf numFmtId="0" fontId="0" fillId="0" borderId="0"/>
    <xf numFmtId="0" fontId="2" fillId="0" borderId="0" applyNumberFormat="0" applyFill="0" applyBorder="0" applyAlignment="0" applyProtection="0"/>
    <xf numFmtId="9" fontId="7" fillId="0" borderId="0" applyFont="0" applyFill="0" applyBorder="0" applyAlignment="0" applyProtection="0"/>
    <xf numFmtId="0" fontId="8" fillId="0" borderId="0"/>
  </cellStyleXfs>
  <cellXfs count="146">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2" fillId="0" borderId="1" xfId="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3" borderId="1" xfId="0" applyFill="1" applyBorder="1" applyAlignment="1">
      <alignment horizontal="center" vertical="center" wrapText="1"/>
    </xf>
    <xf numFmtId="0" fontId="1" fillId="2" borderId="3" xfId="0" applyFont="1"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center" vertical="center" wrapText="1"/>
    </xf>
    <xf numFmtId="0" fontId="0" fillId="5" borderId="0" xfId="0" applyFill="1" applyAlignment="1">
      <alignment horizontal="center" vertical="center" wrapText="1"/>
    </xf>
    <xf numFmtId="0" fontId="0" fillId="4" borderId="4" xfId="0" applyFill="1" applyBorder="1" applyAlignment="1">
      <alignment horizontal="center" vertical="center" wrapText="1"/>
    </xf>
    <xf numFmtId="0" fontId="0" fillId="0" borderId="4" xfId="0" applyBorder="1" applyAlignment="1">
      <alignment horizontal="center" vertical="center" wrapText="1"/>
    </xf>
    <xf numFmtId="0" fontId="0" fillId="0" borderId="1" xfId="0" quotePrefix="1" applyBorder="1" applyAlignment="1">
      <alignment horizontal="center" vertical="center" wrapText="1"/>
    </xf>
    <xf numFmtId="0" fontId="0" fillId="6" borderId="1" xfId="0"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1" applyAlignment="1">
      <alignment wrapText="1"/>
    </xf>
    <xf numFmtId="0" fontId="4" fillId="0" borderId="1" xfId="0" applyFont="1" applyBorder="1" applyAlignment="1">
      <alignment horizontal="center" vertical="center" wrapText="1"/>
    </xf>
    <xf numFmtId="0" fontId="0" fillId="7" borderId="1" xfId="0" applyFill="1" applyBorder="1" applyAlignment="1">
      <alignment horizontal="center" vertical="center" wrapText="1"/>
    </xf>
    <xf numFmtId="0" fontId="5"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2" fillId="0" borderId="0" xfId="1" applyAlignment="1">
      <alignment horizontal="center" vertical="center"/>
    </xf>
    <xf numFmtId="0" fontId="3" fillId="0" borderId="1" xfId="0" applyFont="1" applyBorder="1" applyAlignment="1">
      <alignment horizontal="center" vertical="center" wrapText="1"/>
    </xf>
    <xf numFmtId="0" fontId="0" fillId="8" borderId="1" xfId="0" applyFill="1" applyBorder="1" applyAlignment="1">
      <alignment horizontal="center" vertical="center" wrapText="1"/>
    </xf>
    <xf numFmtId="0" fontId="0" fillId="7" borderId="1" xfId="0" quotePrefix="1" applyFill="1" applyBorder="1" applyAlignment="1">
      <alignment horizontal="center" vertical="center" wrapText="1"/>
    </xf>
    <xf numFmtId="0" fontId="2" fillId="0" borderId="0" xfId="1"/>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6" fillId="2" borderId="3" xfId="0" applyFont="1" applyFill="1" applyBorder="1" applyAlignment="1">
      <alignment horizontal="center" vertical="center" wrapText="1"/>
    </xf>
    <xf numFmtId="0" fontId="8" fillId="0" borderId="0" xfId="3" applyAlignment="1">
      <alignment vertical="center"/>
    </xf>
    <xf numFmtId="0" fontId="9" fillId="11" borderId="0" xfId="3" applyFont="1" applyFill="1" applyAlignment="1">
      <alignment vertical="center"/>
    </xf>
    <xf numFmtId="0" fontId="10" fillId="11" borderId="0" xfId="3" applyFont="1" applyFill="1" applyAlignment="1">
      <alignment horizontal="left" vertical="center"/>
    </xf>
    <xf numFmtId="16" fontId="9" fillId="11" borderId="0" xfId="3" applyNumberFormat="1" applyFont="1" applyFill="1" applyAlignment="1">
      <alignment horizontal="left" vertical="center"/>
    </xf>
    <xf numFmtId="1" fontId="9" fillId="11" borderId="0" xfId="3" applyNumberFormat="1" applyFont="1" applyFill="1" applyAlignment="1">
      <alignment horizontal="right" vertical="center"/>
    </xf>
    <xf numFmtId="10" fontId="8" fillId="0" borderId="0" xfId="3" applyNumberFormat="1" applyAlignment="1">
      <alignment vertical="center"/>
    </xf>
    <xf numFmtId="10" fontId="10" fillId="11" borderId="0" xfId="3" applyNumberFormat="1" applyFont="1" applyFill="1" applyAlignment="1">
      <alignment horizontal="left" vertical="center"/>
    </xf>
    <xf numFmtId="9" fontId="0" fillId="0" borderId="0" xfId="2" applyFont="1" applyBorder="1" applyAlignment="1">
      <alignment vertical="center"/>
    </xf>
    <xf numFmtId="0" fontId="8" fillId="0" borderId="7" xfId="3" applyBorder="1" applyAlignment="1">
      <alignment vertical="center"/>
    </xf>
    <xf numFmtId="0" fontId="8" fillId="0" borderId="8" xfId="3" applyBorder="1" applyAlignment="1">
      <alignment vertical="center"/>
    </xf>
    <xf numFmtId="10" fontId="8" fillId="0" borderId="8" xfId="3" applyNumberFormat="1" applyBorder="1" applyAlignment="1">
      <alignment vertical="center"/>
    </xf>
    <xf numFmtId="0" fontId="8" fillId="0" borderId="9" xfId="3" applyBorder="1" applyAlignment="1">
      <alignment vertical="center"/>
    </xf>
    <xf numFmtId="9" fontId="0" fillId="0" borderId="0" xfId="2" applyFont="1" applyAlignment="1">
      <alignment vertical="center"/>
    </xf>
    <xf numFmtId="0" fontId="8" fillId="0" borderId="10" xfId="3" applyBorder="1" applyAlignment="1">
      <alignment vertical="center"/>
    </xf>
    <xf numFmtId="9" fontId="12" fillId="11" borderId="11" xfId="3" applyNumberFormat="1" applyFont="1" applyFill="1" applyBorder="1" applyAlignment="1">
      <alignment horizontal="center" vertical="center"/>
    </xf>
    <xf numFmtId="0" fontId="13" fillId="13" borderId="0" xfId="3" applyFont="1" applyFill="1" applyAlignment="1">
      <alignment horizontal="center" vertical="center"/>
    </xf>
    <xf numFmtId="0" fontId="14" fillId="13" borderId="0" xfId="3" applyFont="1" applyFill="1" applyAlignment="1">
      <alignment horizontal="center" vertical="center"/>
    </xf>
    <xf numFmtId="10" fontId="13" fillId="13" borderId="0" xfId="3" applyNumberFormat="1" applyFont="1" applyFill="1" applyAlignment="1">
      <alignment horizontal="center" vertical="center"/>
    </xf>
    <xf numFmtId="0" fontId="8" fillId="0" borderId="0" xfId="3" applyAlignment="1">
      <alignment horizontal="center" vertical="center" wrapText="1"/>
    </xf>
    <xf numFmtId="0" fontId="8" fillId="0" borderId="10" xfId="3" applyBorder="1" applyAlignment="1">
      <alignment horizontal="center" vertical="center" wrapText="1"/>
    </xf>
    <xf numFmtId="9" fontId="16" fillId="11" borderId="11" xfId="3" applyNumberFormat="1" applyFont="1" applyFill="1" applyBorder="1" applyAlignment="1">
      <alignment horizontal="center" vertical="center" wrapText="1"/>
    </xf>
    <xf numFmtId="9" fontId="8" fillId="0" borderId="0" xfId="2" applyFont="1" applyAlignment="1">
      <alignment horizontal="center" vertical="center" wrapText="1"/>
    </xf>
    <xf numFmtId="10" fontId="13" fillId="0" borderId="0" xfId="3" applyNumberFormat="1" applyFont="1" applyAlignment="1">
      <alignment horizontal="center" vertical="center" wrapText="1"/>
    </xf>
    <xf numFmtId="0" fontId="13" fillId="14" borderId="17" xfId="3" applyFont="1" applyFill="1" applyBorder="1" applyAlignment="1">
      <alignment horizontal="center" vertical="center" wrapText="1"/>
    </xf>
    <xf numFmtId="0" fontId="17" fillId="0" borderId="0" xfId="3" applyFont="1" applyAlignment="1">
      <alignment horizontal="left" vertical="center"/>
    </xf>
    <xf numFmtId="0" fontId="18" fillId="0" borderId="0" xfId="3" applyFont="1" applyAlignment="1">
      <alignment horizontal="center" vertical="center" wrapText="1"/>
    </xf>
    <xf numFmtId="0" fontId="18" fillId="0" borderId="10" xfId="3" applyFont="1" applyBorder="1" applyAlignment="1">
      <alignment horizontal="center" vertical="center" wrapText="1"/>
    </xf>
    <xf numFmtId="1" fontId="19" fillId="15" borderId="17" xfId="3" applyNumberFormat="1" applyFont="1" applyFill="1" applyBorder="1" applyAlignment="1">
      <alignment horizontal="center" vertical="center" wrapText="1"/>
    </xf>
    <xf numFmtId="10" fontId="19" fillId="16" borderId="12" xfId="3" applyNumberFormat="1" applyFont="1" applyFill="1" applyBorder="1" applyAlignment="1">
      <alignment horizontal="center" vertical="center" wrapText="1"/>
    </xf>
    <xf numFmtId="9" fontId="19" fillId="16" borderId="12" xfId="3" applyNumberFormat="1" applyFont="1" applyFill="1" applyBorder="1" applyAlignment="1">
      <alignment horizontal="center" vertical="center" wrapText="1"/>
    </xf>
    <xf numFmtId="9" fontId="19" fillId="15" borderId="7" xfId="3" applyNumberFormat="1" applyFont="1" applyFill="1" applyBorder="1" applyAlignment="1">
      <alignment horizontal="center" vertical="center" wrapText="1"/>
    </xf>
    <xf numFmtId="1" fontId="19" fillId="15" borderId="15" xfId="3" applyNumberFormat="1" applyFont="1" applyFill="1" applyBorder="1" applyAlignment="1">
      <alignment horizontal="center" vertical="center" wrapText="1"/>
    </xf>
    <xf numFmtId="0" fontId="18" fillId="0" borderId="11" xfId="3" applyFont="1" applyBorder="1" applyAlignment="1">
      <alignment horizontal="center" vertical="center" wrapText="1"/>
    </xf>
    <xf numFmtId="9" fontId="18" fillId="0" borderId="0" xfId="2" applyFont="1" applyAlignment="1">
      <alignment horizontal="center" vertical="center" wrapText="1"/>
    </xf>
    <xf numFmtId="0" fontId="13" fillId="13" borderId="8" xfId="3" applyFont="1" applyFill="1" applyBorder="1" applyAlignment="1">
      <alignment horizontal="center" vertical="center" wrapText="1"/>
    </xf>
    <xf numFmtId="10" fontId="13" fillId="13" borderId="8" xfId="3" applyNumberFormat="1" applyFont="1" applyFill="1" applyBorder="1" applyAlignment="1">
      <alignment horizontal="center" vertical="center" wrapText="1"/>
    </xf>
    <xf numFmtId="9" fontId="12" fillId="11" borderId="11" xfId="3" applyNumberFormat="1" applyFont="1" applyFill="1" applyBorder="1" applyAlignment="1">
      <alignment horizontal="center" vertical="center" wrapText="1"/>
    </xf>
    <xf numFmtId="9" fontId="0" fillId="0" borderId="0" xfId="2" applyFont="1" applyAlignment="1">
      <alignment horizontal="center" vertical="center" wrapText="1"/>
    </xf>
    <xf numFmtId="0" fontId="15" fillId="10" borderId="23" xfId="3" applyFont="1" applyFill="1" applyBorder="1" applyAlignment="1">
      <alignment horizontal="center" vertical="center" wrapText="1"/>
    </xf>
    <xf numFmtId="0" fontId="15" fillId="10" borderId="24" xfId="3" applyFont="1" applyFill="1" applyBorder="1" applyAlignment="1">
      <alignment horizontal="center" vertical="center" wrapText="1"/>
    </xf>
    <xf numFmtId="0" fontId="15" fillId="14" borderId="13" xfId="3" applyFont="1" applyFill="1" applyBorder="1" applyAlignment="1">
      <alignment vertical="center" wrapText="1"/>
    </xf>
    <xf numFmtId="0" fontId="14" fillId="13" borderId="12" xfId="3" applyFont="1" applyFill="1" applyBorder="1" applyAlignment="1">
      <alignment horizontal="center" vertical="center" wrapText="1"/>
    </xf>
    <xf numFmtId="1" fontId="19" fillId="17" borderId="17" xfId="3" applyNumberFormat="1" applyFont="1" applyFill="1" applyBorder="1" applyAlignment="1">
      <alignment horizontal="center" vertical="center" wrapText="1"/>
    </xf>
    <xf numFmtId="10" fontId="19" fillId="17" borderId="12" xfId="3" applyNumberFormat="1" applyFont="1" applyFill="1" applyBorder="1" applyAlignment="1">
      <alignment horizontal="center" vertical="center" wrapText="1"/>
    </xf>
    <xf numFmtId="9" fontId="19" fillId="17" borderId="12" xfId="3" applyNumberFormat="1" applyFont="1" applyFill="1" applyBorder="1" applyAlignment="1">
      <alignment horizontal="center" vertical="center" wrapText="1"/>
    </xf>
    <xf numFmtId="9" fontId="19" fillId="17" borderId="7" xfId="3" applyNumberFormat="1" applyFont="1" applyFill="1" applyBorder="1" applyAlignment="1">
      <alignment horizontal="center" vertical="center" wrapText="1"/>
    </xf>
    <xf numFmtId="1" fontId="19" fillId="16" borderId="17" xfId="3" applyNumberFormat="1" applyFont="1" applyFill="1" applyBorder="1" applyAlignment="1">
      <alignment horizontal="center" vertical="center" wrapText="1"/>
    </xf>
    <xf numFmtId="0" fontId="20" fillId="0" borderId="17" xfId="0" applyFont="1" applyBorder="1"/>
    <xf numFmtId="1" fontId="21" fillId="13" borderId="17" xfId="3" applyNumberFormat="1" applyFont="1" applyFill="1" applyBorder="1" applyAlignment="1">
      <alignment horizontal="center" vertical="center" wrapText="1"/>
    </xf>
    <xf numFmtId="1" fontId="22" fillId="10" borderId="17" xfId="3" applyNumberFormat="1" applyFont="1" applyFill="1" applyBorder="1" applyAlignment="1">
      <alignment horizontal="center" vertical="center" wrapText="1"/>
    </xf>
    <xf numFmtId="10" fontId="21" fillId="0" borderId="12" xfId="3" applyNumberFormat="1" applyFont="1" applyBorder="1" applyAlignment="1">
      <alignment horizontal="center" vertical="center" wrapText="1"/>
    </xf>
    <xf numFmtId="9" fontId="21" fillId="0" borderId="12" xfId="3" applyNumberFormat="1" applyFont="1" applyBorder="1" applyAlignment="1">
      <alignment horizontal="center" vertical="center" wrapText="1"/>
    </xf>
    <xf numFmtId="9" fontId="21" fillId="13" borderId="7" xfId="3" applyNumberFormat="1" applyFont="1" applyFill="1" applyBorder="1" applyAlignment="1">
      <alignment horizontal="center" vertical="center" wrapText="1"/>
    </xf>
    <xf numFmtId="1" fontId="21" fillId="13" borderId="15" xfId="3" applyNumberFormat="1" applyFont="1" applyFill="1" applyBorder="1" applyAlignment="1">
      <alignment horizontal="center" vertical="center" wrapText="1"/>
    </xf>
    <xf numFmtId="0" fontId="14" fillId="18" borderId="17" xfId="3" applyFont="1" applyFill="1" applyBorder="1" applyAlignment="1">
      <alignment horizontal="right" vertical="center" wrapText="1"/>
    </xf>
    <xf numFmtId="14" fontId="14" fillId="13" borderId="12" xfId="3" applyNumberFormat="1" applyFont="1" applyFill="1" applyBorder="1" applyAlignment="1">
      <alignment horizontal="center" vertical="center" wrapText="1"/>
    </xf>
    <xf numFmtId="10" fontId="19" fillId="17" borderId="17" xfId="3" applyNumberFormat="1" applyFont="1" applyFill="1" applyBorder="1" applyAlignment="1">
      <alignment horizontal="center" vertical="center" wrapText="1"/>
    </xf>
    <xf numFmtId="9" fontId="19" fillId="17" borderId="17" xfId="3" applyNumberFormat="1" applyFont="1" applyFill="1" applyBorder="1" applyAlignment="1">
      <alignment horizontal="center" vertical="center" wrapText="1"/>
    </xf>
    <xf numFmtId="0" fontId="8" fillId="0" borderId="18" xfId="3" applyBorder="1" applyAlignment="1">
      <alignment vertical="center"/>
    </xf>
    <xf numFmtId="0" fontId="8" fillId="0" borderId="19" xfId="3" applyBorder="1" applyAlignment="1">
      <alignment vertical="center"/>
    </xf>
    <xf numFmtId="10" fontId="8" fillId="0" borderId="19" xfId="3" applyNumberFormat="1" applyBorder="1" applyAlignment="1">
      <alignment vertical="center"/>
    </xf>
    <xf numFmtId="0" fontId="8" fillId="0" borderId="20" xfId="3" applyBorder="1" applyAlignment="1">
      <alignment vertical="center"/>
    </xf>
    <xf numFmtId="0" fontId="3" fillId="10" borderId="1" xfId="0" applyFont="1" applyFill="1" applyBorder="1" applyAlignment="1">
      <alignment horizontal="center" vertical="center" wrapText="1"/>
    </xf>
    <xf numFmtId="0" fontId="0" fillId="7" borderId="0" xfId="0" applyFill="1" applyAlignment="1">
      <alignment horizontal="center" vertical="center" wrapText="1"/>
    </xf>
    <xf numFmtId="0" fontId="0" fillId="13" borderId="1" xfId="0" applyFill="1" applyBorder="1" applyAlignment="1">
      <alignment horizontal="center" vertical="center" wrapText="1"/>
    </xf>
    <xf numFmtId="0" fontId="5" fillId="13" borderId="1" xfId="0" applyFont="1" applyFill="1" applyBorder="1" applyAlignment="1">
      <alignment horizontal="center" vertical="center" wrapText="1"/>
    </xf>
    <xf numFmtId="0" fontId="0" fillId="7" borderId="4" xfId="0" applyFill="1" applyBorder="1" applyAlignment="1">
      <alignment horizontal="center" vertical="center" wrapText="1"/>
    </xf>
    <xf numFmtId="0" fontId="0" fillId="6" borderId="1" xfId="0" quotePrefix="1" applyFill="1" applyBorder="1" applyAlignment="1">
      <alignment horizontal="center" vertical="center" wrapText="1"/>
    </xf>
    <xf numFmtId="0" fontId="2" fillId="0" borderId="1" xfId="1" applyBorder="1" applyAlignment="1">
      <alignment horizontal="center" vertical="center"/>
    </xf>
    <xf numFmtId="0" fontId="0" fillId="0" borderId="5" xfId="0" applyBorder="1" applyAlignment="1">
      <alignment horizontal="left" vertical="center" wrapText="1"/>
    </xf>
    <xf numFmtId="0" fontId="0" fillId="6" borderId="26" xfId="0" quotePrefix="1" applyFill="1" applyBorder="1" applyAlignment="1">
      <alignment horizontal="center" vertical="center" wrapText="1"/>
    </xf>
    <xf numFmtId="0" fontId="0" fillId="10" borderId="26" xfId="0" quotePrefix="1" applyFill="1" applyBorder="1" applyAlignment="1">
      <alignment horizontal="center" vertical="center" wrapText="1"/>
    </xf>
    <xf numFmtId="0" fontId="23" fillId="0" borderId="1" xfId="0" applyFont="1" applyBorder="1" applyAlignment="1">
      <alignment horizontal="center" vertical="center" wrapText="1"/>
    </xf>
    <xf numFmtId="0" fontId="5" fillId="0" borderId="0" xfId="1" applyFont="1" applyAlignment="1">
      <alignment horizontal="center" vertical="center" wrapText="1"/>
    </xf>
    <xf numFmtId="0" fontId="0" fillId="18" borderId="1" xfId="0" applyFill="1" applyBorder="1" applyAlignment="1">
      <alignment horizontal="center" vertical="center" wrapText="1"/>
    </xf>
    <xf numFmtId="0" fontId="2" fillId="0" borderId="0" xfId="1" applyAlignment="1">
      <alignment horizontal="center" vertical="center" wrapText="1"/>
    </xf>
    <xf numFmtId="0" fontId="0" fillId="10" borderId="1" xfId="0" quotePrefix="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0" fillId="0" borderId="0" xfId="1" applyFont="1" applyAlignment="1">
      <alignment vertical="center" wrapText="1"/>
    </xf>
    <xf numFmtId="0" fontId="2" fillId="0" borderId="0" xfId="1" applyAlignment="1">
      <alignment vertical="center"/>
    </xf>
    <xf numFmtId="0" fontId="2" fillId="0" borderId="1" xfId="1" applyFill="1" applyBorder="1" applyAlignment="1">
      <alignment horizontal="center" vertical="center" wrapText="1"/>
    </xf>
    <xf numFmtId="0" fontId="0" fillId="0" borderId="5" xfId="0" applyBorder="1" applyAlignment="1">
      <alignment horizontal="center" vertical="center" wrapText="1"/>
    </xf>
    <xf numFmtId="0" fontId="2" fillId="0" borderId="6" xfId="1" applyFill="1" applyBorder="1" applyAlignment="1">
      <alignment horizontal="center" vertical="center" wrapText="1"/>
    </xf>
    <xf numFmtId="0" fontId="2" fillId="0" borderId="4" xfId="1" applyFill="1" applyBorder="1" applyAlignment="1">
      <alignment horizontal="center" vertical="center" wrapText="1"/>
    </xf>
    <xf numFmtId="0" fontId="25" fillId="0" borderId="0" xfId="0" applyFont="1"/>
    <xf numFmtId="1" fontId="0" fillId="0" borderId="0" xfId="0" applyNumberFormat="1"/>
    <xf numFmtId="0" fontId="13" fillId="14" borderId="12" xfId="3" applyFont="1" applyFill="1" applyBorder="1" applyAlignment="1">
      <alignment horizontal="center" vertical="center" wrapText="1"/>
    </xf>
    <xf numFmtId="0" fontId="13" fillId="14" borderId="16" xfId="3" applyFont="1" applyFill="1" applyBorder="1" applyAlignment="1">
      <alignment horizontal="center" vertical="center" wrapText="1"/>
    </xf>
    <xf numFmtId="0" fontId="13" fillId="14" borderId="13" xfId="3" applyFont="1" applyFill="1" applyBorder="1" applyAlignment="1">
      <alignment horizontal="center" vertical="center" wrapText="1"/>
    </xf>
    <xf numFmtId="0" fontId="13" fillId="14" borderId="14" xfId="3" applyFont="1" applyFill="1" applyBorder="1" applyAlignment="1">
      <alignment horizontal="center" vertical="center" wrapText="1"/>
    </xf>
    <xf numFmtId="0" fontId="13" fillId="14" borderId="15" xfId="3" applyFont="1" applyFill="1" applyBorder="1" applyAlignment="1">
      <alignment horizontal="center" vertical="center" wrapText="1"/>
    </xf>
    <xf numFmtId="0" fontId="14" fillId="13" borderId="12" xfId="3" applyFont="1" applyFill="1" applyBorder="1" applyAlignment="1">
      <alignment horizontal="center" vertical="center" wrapText="1"/>
    </xf>
    <xf numFmtId="0" fontId="14" fillId="13" borderId="25" xfId="3" applyFont="1" applyFill="1" applyBorder="1" applyAlignment="1">
      <alignment horizontal="center" vertical="center" wrapText="1"/>
    </xf>
    <xf numFmtId="0" fontId="8" fillId="0" borderId="0" xfId="3" applyAlignment="1">
      <alignment horizontal="center" vertical="center"/>
    </xf>
    <xf numFmtId="10" fontId="13" fillId="14" borderId="12" xfId="3" applyNumberFormat="1" applyFont="1" applyFill="1" applyBorder="1" applyAlignment="1">
      <alignment horizontal="center" vertical="center" wrapText="1"/>
    </xf>
    <xf numFmtId="10" fontId="13" fillId="14" borderId="16" xfId="3" applyNumberFormat="1" applyFont="1" applyFill="1" applyBorder="1" applyAlignment="1">
      <alignment horizontal="center" vertical="center" wrapText="1"/>
    </xf>
    <xf numFmtId="0" fontId="15" fillId="14" borderId="21" xfId="3" applyFont="1" applyFill="1" applyBorder="1" applyAlignment="1">
      <alignment horizontal="center" vertical="center" wrapText="1"/>
    </xf>
    <xf numFmtId="0" fontId="15" fillId="14" borderId="22" xfId="3" applyFont="1" applyFill="1" applyBorder="1" applyAlignment="1">
      <alignment horizontal="center" vertical="center" wrapText="1"/>
    </xf>
    <xf numFmtId="0" fontId="15" fillId="10" borderId="7" xfId="3" applyFont="1" applyFill="1" applyBorder="1" applyAlignment="1">
      <alignment horizontal="center" vertical="center" wrapText="1"/>
    </xf>
    <xf numFmtId="0" fontId="15" fillId="10" borderId="9" xfId="3" applyFont="1" applyFill="1" applyBorder="1" applyAlignment="1">
      <alignment horizontal="center" vertical="center" wrapText="1"/>
    </xf>
    <xf numFmtId="0" fontId="13" fillId="14" borderId="9" xfId="3" applyFont="1" applyFill="1" applyBorder="1" applyAlignment="1">
      <alignment horizontal="center" vertical="center" wrapText="1"/>
    </xf>
    <xf numFmtId="0" fontId="13" fillId="14" borderId="20" xfId="3" applyFont="1" applyFill="1" applyBorder="1" applyAlignment="1">
      <alignment horizontal="center" vertical="center" wrapText="1"/>
    </xf>
    <xf numFmtId="0" fontId="11" fillId="12" borderId="0" xfId="3" applyFont="1" applyFill="1" applyAlignment="1">
      <alignment horizontal="center" vertical="center"/>
    </xf>
    <xf numFmtId="0" fontId="13" fillId="0" borderId="0" xfId="3" applyFont="1" applyAlignment="1">
      <alignment horizontal="center" vertical="center"/>
    </xf>
    <xf numFmtId="0" fontId="15" fillId="14" borderId="7" xfId="3" applyFont="1" applyFill="1" applyBorder="1" applyAlignment="1">
      <alignment horizontal="center" vertical="center" wrapText="1"/>
    </xf>
    <xf numFmtId="0" fontId="15" fillId="14" borderId="8" xfId="3" applyFont="1" applyFill="1" applyBorder="1" applyAlignment="1">
      <alignment horizontal="center" vertical="center" wrapText="1"/>
    </xf>
    <xf numFmtId="0" fontId="15" fillId="14" borderId="9" xfId="3" applyFont="1" applyFill="1" applyBorder="1" applyAlignment="1">
      <alignment horizontal="center" vertical="center" wrapText="1"/>
    </xf>
    <xf numFmtId="0" fontId="15" fillId="14" borderId="10" xfId="3" applyFont="1" applyFill="1" applyBorder="1" applyAlignment="1">
      <alignment horizontal="center" vertical="center" wrapText="1"/>
    </xf>
    <xf numFmtId="0" fontId="15" fillId="14" borderId="0" xfId="3" applyFont="1" applyFill="1" applyAlignment="1">
      <alignment horizontal="center" vertical="center" wrapText="1"/>
    </xf>
    <xf numFmtId="0" fontId="15" fillId="14" borderId="11" xfId="3" applyFont="1" applyFill="1" applyBorder="1" applyAlignment="1">
      <alignment horizontal="center" vertical="center" wrapText="1"/>
    </xf>
    <xf numFmtId="0" fontId="15" fillId="14" borderId="18" xfId="3" applyFont="1" applyFill="1" applyBorder="1" applyAlignment="1">
      <alignment horizontal="center" vertical="center" wrapText="1"/>
    </xf>
    <xf numFmtId="0" fontId="15" fillId="14" borderId="19" xfId="3" applyFont="1" applyFill="1" applyBorder="1" applyAlignment="1">
      <alignment horizontal="center" vertical="center" wrapText="1"/>
    </xf>
    <xf numFmtId="0" fontId="15" fillId="14" borderId="20" xfId="3" applyFont="1" applyFill="1" applyBorder="1" applyAlignment="1">
      <alignment horizontal="center" vertical="center" wrapText="1"/>
    </xf>
    <xf numFmtId="1" fontId="25" fillId="0" borderId="0" xfId="0" applyNumberFormat="1" applyFont="1"/>
  </cellXfs>
  <cellStyles count="4">
    <cellStyle name="Hyperlink" xfId="1" xr:uid="{00000000-000B-0000-0000-000008000000}"/>
    <cellStyle name="Normal" xfId="0" builtinId="0"/>
    <cellStyle name="Normal 10 2" xfId="3" xr:uid="{08E45B4E-52DD-4E93-8665-87F08CD6685C}"/>
    <cellStyle name="Porcentaje" xfId="2" builtinId="5"/>
  </cellStyles>
  <dxfs count="8">
    <dxf>
      <fill>
        <patternFill patternType="solid">
          <fgColor rgb="FFFFFF00"/>
          <bgColor rgb="FFFFFFFF"/>
        </patternFill>
      </fill>
    </dxf>
    <dxf>
      <fill>
        <patternFill patternType="solid">
          <fgColor rgb="FFFFFF00"/>
          <bgColor rgb="FFFFFFFF"/>
        </patternFill>
      </fill>
    </dxf>
    <dxf>
      <fill>
        <patternFill patternType="solid">
          <fgColor rgb="FFFFFF00"/>
          <bgColor rgb="FFFFFFFF"/>
        </patternFill>
      </fill>
    </dxf>
    <dxf>
      <fill>
        <patternFill patternType="solid">
          <fgColor rgb="FFFFFF00"/>
          <bgColor rgb="FFFFFFFF"/>
        </patternFill>
      </fill>
    </dxf>
    <dxf>
      <fill>
        <patternFill patternType="solid">
          <fgColor rgb="FF92D050"/>
          <bgColor rgb="FFFFFFFF"/>
        </patternFill>
      </fill>
    </dxf>
    <dxf>
      <fill>
        <patternFill patternType="solid">
          <fgColor rgb="FF92D050"/>
          <bgColor rgb="FFFFFFFF"/>
        </patternFill>
      </fill>
    </dxf>
    <dxf>
      <fill>
        <patternFill patternType="solid">
          <fgColor rgb="FF92D050"/>
          <bgColor rgb="FFFFFFFF"/>
        </patternFill>
      </fill>
    </dxf>
    <dxf>
      <fill>
        <patternFill patternType="solid">
          <fgColor rgb="FF92D05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250"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6%20Usuario%20recurrente_Pago%20contra%20Entrega%20NR.mp4?csf=1&amp;web=1&amp;e=Uyznh1"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1%20Usuario%20recurrente_Pago%20contra%20Entrega%20(NR).mp4?csf=1&amp;web=1&amp;e=gyVLJa"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8-12%20Usuario%20Nuevo_Pre-Pago%20en%20establecimientos%20asociados%20%20Super%20NR.mp4?csf=1&amp;web=1&amp;e=3U8VoJ"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6%20Usuario%20recurrente%20Pago%20en%20establecimientos%20super%20y%20vinos.mp4?csf=1&amp;web=1&amp;e=o1n0lW"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32%20Usuario%20Recurrente%20realiza%20una%20segunda%20compra.mp4?csf=1&amp;web=1&amp;e=YJs8v6"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5%20Usuario%20recurrente_Pre-Pago%20en%20tiendas%20Chedraui%20(Super%20+%20NR%20con%20existencia%20en%20tienda).mp4?csf=1&amp;web=1&amp;e=Yk3LGZ"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nGYXRb"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1%20Metodos%20de%20pago%20Ver.745.mp4?csf=1&amp;web=1&amp;e=2aF3Ii"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2%20Usuario%20recurrente%20Pago%20en%20tienda%20chedraui%20vinos%20y%20super.mp4?csf=1&amp;web=1&amp;e=PcCvPu"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app.clickup.com/t/8499449/APP-250"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nGYXRb" TargetMode="External"/><Relationship Id="rId4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31%20Repetir%20compra%20FAIL.mp4?csf=1&amp;web=1&amp;e=vEaXtt"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7-23%20Usuario%20recurrente_Pre-Pago%20en%20establecimientos%20asociados%20%20Super%20NR.mp4?csf=1&amp;web=1&amp;e=qnf6gc" TargetMode="External"/><Relationship Id="rId4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3%20Usuario%20nuevo%20Pago%20en%20establecimientos%20super%20y%20flete%20FAIL.mp4?csf=1&amp;web=1&amp;e=gJKfyr"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250"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9%20Usuario%20recurrente_Pre-Pago%20en%20establecimientos%20asociados%20(Super%20+%20NR%20con%20existencia%20en%20tienda).mp4?csf=1&amp;web=1&amp;e=MkMOsh"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4%20Usuario%20nuevo_Pre-Pago%20en%20establecimientos%20asociados%20Super%20%20NR%20con%20existencia%20en%20tienda.mp4?csf=1&amp;web=1&amp;e=q8BfEK"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1%20Usuario%20nuevo%20Pago%20en%20establecimientos%20super%20y%20vinos.mp4?csf=1&amp;web=1&amp;e=ZWRgDL"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8%20Usuario%20recurrente%20Pago%20en%20establecimientos%20super%20y%20flete.mp4?csf=1&amp;web=1&amp;e=zSRJjF"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7-23%20Usuario%20recurrente_Pre-Pago%20en%20establecimientos%20asociados%20%20Super%20NR.mp4?csf=1&amp;web=1&amp;e=cowiuy"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qrxxiZ"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24%20Usuario%20recurrente%20Pago%20en%20tienda%20chedraui%20supery%20flete.mp4?csf=1&amp;web=1&amp;e=pxATha"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07%20Usuario%20nuevo%20Pago%20en%20tienda%20chedraui%20super%20y%20vinos.mp4?csf=1&amp;web=1&amp;e=8keYN3"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250"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3%20Usuario%20recurrente%20pago%20en%20tiendas%20Chedraui%20super%20y%20NR.mp4?csf=1&amp;web=1&amp;e=mduoTD"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Exploratorias%20Web%20-%20App/Pruebas%20Exploratorias%20App/Azure%20bugs/Evidencia/ANDROID/25-09-2024/ID%2032%20Repetir%202da%20o%203ra%20compra%20.mp4?csf=1&amp;web=1&amp;e=eQ4FTy"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9%20Usuario%20recurrente%20pago%20en%20establecimientos%20super%20y%20NR%20.mp4?csf=1&amp;web=1&amp;e=sicd4c"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14%20Usuario%20nuevo_Pre-Pago%20en%20establecimientos%20asociados%20Super%20%20NR%20con%20existencia%20en%20tienda.mp4?csf=1&amp;web=1&amp;e=q8BfEK"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7%20Usuario%20recurrente%20pago%20en%20establecimientos%20super%20y%20NR%20.mp4?csf=1&amp;web=1&amp;e=YEEfVk"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750/Android/Usuario%20nuevo%20super%20+%20NR_20240925_105755_Chedraui.mp4?csf=1&amp;web=1&amp;e=QXGUpu"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8%20Usuario%20recurrente%20pago%20en%20establecimientos%20super%20y%20flete%20.mp4?csf=1&amp;web=1&amp;e=VrVcJx"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5%20Usuario%20recurrente%20pago%20en%20tiendas%20Chedraui%20super%20y%20NR%20.mp4?csf=1&amp;web=1&amp;e=maMTUd"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app.clickup.com/t/8499449/APP-250"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6%20Usuario%20recurrente%20pago%20en%20establecimientos%20super%20y%20vinos%20.mp4?csf=1&amp;web=1&amp;e=FfgnYH"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750/Android/ID%206%20Usuario%20nuevo%20pago%20contraentrega%20NR_20240925_091926_Chedraui.mp4?csf=1&amp;web=1&amp;e=yDy6Hg"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250"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4-09-2024/ID%208-12%20Usuario%20Nuevo_Pre-Pago%20en%20establecimientos%20asociados%20%20Super%20NR.mp4?csf=1&amp;web=1&amp;e=nGYXRb"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4%20Usuario%20recurrente%20pago%20en%20tiendas%20Chedraui%20super%20y%20flete%20.mp4?csf=1&amp;web=1&amp;e=ht0faC"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Exploratorias%20Web%20-%20App/Pruebas%20Exploratorias%20App/Azure%20bugs/Evidencia/ANDROID/25-09-2024/ID%2031%20Repetir%20compra%20desde%20mis%20pedidos.mp4?csf=1&amp;web=1&amp;e=TstDUd"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750/Android/ID%2021%20FAIL%20Usuario%20recurrente%20Pago%20contra%20entrega%20NR%20.mp4?csf=1&amp;web=1&amp;e=oONTHS"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6-Usuario%20nuevo_Pago%20contra%20Entrega%20(NR).mp4?csf=1&amp;web=1&amp;e=1MCpNB"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7-%20Usuario%20recurrente_Pre-Pago%20en%20establecimientos%20asociados%20%20(Super%20+%20NR).mp4?csf=1&amp;web=1&amp;e=VgzGbR"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5-%20Usuario%20recurrente%20Pre-Pago%20en%20tiendas%20Chedraui%20(Super%20+%20NR%20con%20existencia%20en%20tienda.mp4?csf=1&amp;web=1&amp;e=jf5W5R"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12-Usuario%20nuevo_Pre-Pago%20en%20establecimientos%20asociados%20%20(Super%20+%20NR).mp4?csf=1&amp;web=1&amp;e=qGUpB6"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3-%20Usuario%20recurrente_Pre-Pago%20en%20tiendas%20Chedraui%20(Super%20+%20NR).mp4?csf=1&amp;web=1&amp;e=R4DlLr"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10-Usuario%20nuevo_Pre-Pago%20en%20tiendas%20Chedraui%20Super%20+%20NR%20con%20existencia%20en%20tienda.mp4?csf=1&amp;web=1&amp;e=ZnCO9D"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32-Usuario%20Recurrente%20realiza%20una%20segunda%20compra.mp4?csf=1&amp;web=1&amp;e=wXLFvk"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1-Usuario%20recurrente_Pago%20contra%20Entrega%20(NR).mp4?csf=1&amp;web=1&amp;e=2hJSNy"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8-Usuario%20nuevo_Pre-Pago%20en%20tiendas%20Chedraui%20(Super%20+%20NR).mp4?csf=1&amp;web=1&amp;e=AE0Fit"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14-Usuario%20nuevo_Pre-Pago%20en%20establecimientos%20asociados%20(Super%20+%20NR%20con%20existencia%20en%20tienda.mp4?csf=1&amp;web=1&amp;e=gNoeiR"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IOS/09-09-2024/ID29-Usuario%20recurrente_Pre-Pago%20en%20establecimientos%20asociados%20(Super%20+%20NR%20con%20existencia%20en%20tienda).mp4?csf=1&amp;web=1&amp;e=dAJIeU" TargetMode="External"/><Relationship Id="rId8" Type="http://schemas.openxmlformats.org/officeDocument/2006/relationships/hyperlink" Target="https://app.clickup.com/t/8499449/APP-250"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20UsuarioNuevo_Contraentrega.mp4?csf=1&amp;web=1&amp;e=m4F2oJ"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8%20-%20Flujos%20transaccionales.mp4?csf=1&amp;web=1&amp;e=SUvnTf"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2%20-%20Flujos%20transaccionales.mp4?csf=1&amp;web=1&amp;e=KkpUux"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32%20-%20Flujo%20transaccional%20.mp4?csf=1&amp;web=1&amp;e=2IqQ8e"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21-08-24/ID%207%20Crasheo%20en%20pantalla%20de%20pedido.mp4?csf=1&amp;web=1&amp;e=mGszfb"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12%20UsuarioNuevo_Establecimientos.mp4?csf=1&amp;web=1&amp;e=M8agl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3%20UsusarioRecurrente_Contraentrega.mp4?csf=1&amp;web=1&amp;e=NH1qd3"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6%20UsusarioRecurrente_Establecimientos.mp4?csf=1&amp;web=1&amp;e=sBfy3W" TargetMode="External"/><Relationship Id="rId40"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3-Usuario%20nuevo_Pre-Pago%20en%20establecimientos%20asociados%20(Super%20+%20Flete).png?csf=1&amp;web=1&amp;e=xJQLdP" TargetMode="External"/><Relationship Id="rId45"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31-Usuario%20recurrente%20da%20click%20en%20Repetir%20compraThumbnails.png?csf=1&amp;web=1&amp;e=wCLusB"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01%20Y%20ID08%20-%20Flujos%20transaccionales%20(707).mp4?csf=1&amp;web=1&amp;e=yRSNip"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5%20-%20Flujo%20transaccional.mp4?csf=1&amp;web=1&amp;e=CCrvGn"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0%20UsusarioRecurrente_Contraentrega.mp4?csf=1&amp;web=1&amp;e=QxOB4A" TargetMode="External"/><Relationship Id="rId44"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7-Usuario%20recurrente_Pre-Pago%20en%20establecimientos%20asociados%20%20(Super%20+%20NR).png?csf=1&amp;web=1&amp;e=vOOBao"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9%20UsuarioNuevo_Chedraui.mp4?csf=1&amp;web=1&amp;e=es87FD"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1%20-%20Flujos%20transaccionales.mp4?csf=1&amp;web=1&amp;e=3yYNha" TargetMode="External"/><Relationship Id="rId35"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0-capture_01.png?csf=1&amp;web=1&amp;e=aPWkbF" TargetMode="External"/><Relationship Id="rId43"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4-Usuario%20recurrente_Pre-Pago%20en%20tiendas%20Chedraui%20(Super%20+%20Flete).png?csf=1&amp;web=1&amp;e=eTe1fa"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4%20-%20Flujos%20transaccionales.mp4?csf=1&amp;web=1&amp;e=bYY68g"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9%20UsuarioRecurrente_Establecimientos.mp4?csf=1&amp;web=1&amp;e=vDWxmE"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15-08-24/ID%208%20Cambio%20de%20usuario%20no%20respeta%20localizaci&#243;n%20actual.mp4?csf=1&amp;web=1&amp;e=ArFUVp"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1-Usuario%20recurrente_Pago%20contra%20Entrega%20(NR).png?csf=1&amp;web=1&amp;e=un9wyN"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20UsuarioNuevo_Contraentrega.mp4?csf=1&amp;web=1&amp;e=m4F2oJ"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9%20UsuarioRecurrente_Establecimientos.mp4?csf=1&amp;web=1&amp;e=vDWxmE"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4%20-%20Flujos%20transaccionales.mp4?csf=1&amp;web=1&amp;e=bYY68g" TargetMode="External"/><Relationship Id="rId42"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1-Usuario%20recurrente_Pago%20contra%20Entrega%20(NR).png?csf=1&amp;web=1&amp;e=un9wyN"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01%20Y%20ID08%20-%20Flujos%20transaccionales%20(707).mp4?csf=1&amp;web=1&amp;e=yRSNip"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12%20UsuarioNuevo_Establecimientos.mp4?csf=1&amp;web=1&amp;e=M8agl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7-Usuario%20nuevo_Pre-Pago%20en%20tiendas%20Chedraui%20(super%20+%20vinos%20y%20licores)_20240807_100206_Chedraui.png?csf=1&amp;web=1&amp;e=zYAc46"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5%20-%20Flujo%20transaccional.mp4?csf=1&amp;web=1&amp;e=CCrvGn"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8%20-%20Flujos%20transaccionales.mp4?csf=1&amp;web=1&amp;e=SUvnTf" TargetMode="External"/><Relationship Id="rId45"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7-Usuario%20recurrente_Pre-Pago%20en%20establecimientos%20asociados%20%20(Super%20+%20NR).png?csf=1&amp;web=1&amp;e=vOOBao"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01%20Y%20ID08%20-%20Flujos%20transaccionales%20(707).mp4?csf=1&amp;web=1&amp;e=HECbed" TargetMode="External"/><Relationship Id="rId36"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0-capture_01.png?csf=1&amp;web=1&amp;e=aPWkbF"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0%20UsusarioRecurrente_Contraentrega.mp4?csf=1&amp;web=1&amp;e=QxOB4A" TargetMode="External"/><Relationship Id="rId44"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24-Usuario%20recurrente_Pre-Pago%20en%20tiendas%20Chedraui%20(Super%20+%20Flete).png?csf=1&amp;web=1&amp;e=eTe1fa"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9%20UsuarioNuevo_Chedraui.mp4?csf=1&amp;web=1&amp;e=es87FD"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11%20-%20Flujos%20transaccionales.mp4?csf=1&amp;web=1&amp;e=3yYNha"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2%20-%20Flujos%20transaccionales.mp4?csf=1&amp;web=1&amp;e=KkpUux"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32%20-%20Flujo%20transaccional%20.mp4?csf=1&amp;web=1&amp;e=2IqQ8e"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3%20UsusarioRecurrente_Contraentrega.mp4?csf=1&amp;web=1&amp;e=NH1qd3"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06-08-2024/ID%2026%20UsusarioRecurrente_Establecimientos.mp4?csf=1&amp;web=1&amp;e=sBfy3W" TargetMode="External"/><Relationship Id="rId46"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31-Usuario%20recurrente%20da%20click%20en%20Repetir%20compraThumbnails.png?csf=1&amp;web=1&amp;e=wCLusB"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06-08-2024/ID13-Usuario%20nuevo_Pre-Pago%20en%20establecimientos%20asociados%20(Super%20+%20Flete).png?csf=1&amp;web=1&amp;e=xJQLdP"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3%20Chedraui.mp4?csf=1&amp;web=1&amp;e=mUezJT"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14%20-%20Flujos%20transaccionales.mp4?csf=1&amp;web=1&amp;e=hooaYw"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20%20Usuario%20recurrente_Pago%20contra%20Entrega%20(NR).mp4?csf=1&amp;web=1&amp;e=30cG8O" TargetMode="External"/><Relationship Id="rId42"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1-%2001_Evidencia-Prueba-2024-08-02%2011h40_43.png?csf=1&amp;web=1&amp;e=YtpqJu" TargetMode="External"/><Relationship Id="rId47"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031-%2001_Evidencia-Prueba-2024-08-02%2012h22_59.png?csf=1&amp;web=1&amp;e=Pey2ly"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01%20Y%20ID08%20-%20Flujos%20transaccionales.mp4?csf=1&amp;web=1&amp;e=HxCc7k"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Comparativa%20Web/ID%209%20Usuario%20nuevo_Pre-Pago%20en%20tiendas%20Chedraui%20(Super%20+%20Flete)%20WEB.mp4?csf=1&amp;web=1&amp;e=TJHSYD" TargetMode="External"/><Relationship Id="rId37"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10%20-%2001_Evidencia-Prueba-2024-08-02%2011h02_34.png?csf=1&amp;web=1&amp;e=G02p1g" TargetMode="External"/><Relationship Id="rId40"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13%20-%2001_Evidencia-Prueba-2024-08-02%2011h24_52.png?csf=1&amp;web=1&amp;e=jaOSR4"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8%20-%20Flujos%20transaccionales.mp4?csf=1&amp;web=1&amp;e=RrbEFX"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9%20Usuario%20nuevo_Pre-Pago%20en%20tiendas%20Chedraui%20(Super%20+%20Flete).mp4?csf=1&amp;web=1&amp;e=o3Irfu"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26%20Usuario%20recurrente_Pre-Pago%20en%20establecimientos%20asociados%20(super%20+%20vinos%20y%20licores).mp4?csf=1&amp;web=1&amp;e=hrowhh"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7%20-%2001_Evidencia-Prueba-2024-08-02%2010h15_15.png?csf=1&amp;web=1&amp;e=TxaHAe" TargetMode="External"/><Relationship Id="rId44"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024%20-%2001_Evidencia-Prueba-2024-08-02%2012h06_49.png?csf=1&amp;web=1&amp;e=PRJVQc"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6%20Usuario%20nuevo_Pago%20contra%20Entrega%20(NR).mp4?csf=1&amp;web=1&amp;e=Uv8Z7W"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01%20Y%20ID08%20-%20Flujos%20transaccionales.mp4?csf=1&amp;web=1&amp;e=2sVQlP"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11%20-%20Flujos%20transaccionales.mp4?csf=1&amp;web=1&amp;e=aHre3t"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5%20-%20Flujos%20transaccionales.mp4?csf=1&amp;web=1&amp;e=LPoBhE"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32%20-%20Flujo%20transaccional.mp4?csf=1&amp;web=1&amp;e=a7WkFA"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12%20Usuario%20nuevo_Pre-Pago%20en%20establecimientos%20asociados%20%20(Super%20+%20NR).mp4?csf=1&amp;web=1&amp;e=VASHnZ"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029%20Usuario%20recurrente_Pre-Pago%20en%20establecimientos%20asociados%20(Super%20+%20NR%20con%20existencia%20en%20tienda).mp4?csf=1&amp;web=1&amp;e=v55562" TargetMode="External"/><Relationship Id="rId46" Type="http://schemas.openxmlformats.org/officeDocument/2006/relationships/hyperlink" Target="https://netorgft4658651-my.sharepoint.com/:i:/r/sites/equipo-omnicanal/Shared%20Documents/General/QA%20Chedraui/Proyecto%20Nativo/Pruebas%20Aceptaci&#243;n%20Web%20-%20App/Aceptaci&#243;n%20App/3.%20Implementaci&#243;n/Version-681/Flujos%20transaccionales/Evidencia%20Android/Evidencia%2002-08-2024/id27-01_Evidencia-Prueba-2024-08-02%2012h14_21.png?csf=1&amp;web=1&amp;e=yYB7Dx"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02-08-2024/ID22%20-%20Flujos%20transaccionales.mp4?csf=1&amp;web=1&amp;e=m3zpa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1061"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5%20FT%20696_20240719_093523_Chedraui.mp4?csf=1&amp;web=1&amp;e=fKKvUe"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0%20Recurrente.mp4?csf=1&amp;web=1&amp;e=WjItle"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3%20Chedraui.mp4?csf=1&amp;web=1&amp;e=mUezJT"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2%20Establecimientos%20asociados.mp4?csf=1&amp;web=1&amp;e=8PIYB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4%20Establecimientos%20asociados.mp4?csf=1&amp;web=1&amp;e=vwXQma"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8%20F%20Transaccional%20696%20app_20240719_092738_Chedraui.mp4?csf=1&amp;web=1&amp;e=FuRj5J"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1%20Contra%20entrega.mp4?csf=1&amp;web=1&amp;e=PEHHHx"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6_FLUJOS%20TRANSACCIONALES.mp4?csf=1&amp;web=1&amp;e=KAMTY5"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7%20FT%20696_20240719_095756_Chedraui.mp4?csf=1&amp;web=1&amp;e=JLKrcD"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3%20Establecimientos.mp4?csf=1&amp;web=1&amp;e=Pns5iT" TargetMode="External"/><Relationship Id="rId4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2%20Chedraui.mp4?csf=1&amp;web=1&amp;e=VlvVbh"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1_FLUJOS%20TRANSACCIONALES.mp4?csf=1&amp;web=1&amp;e=kfmoxS"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7_FLUJOS%20TRANSACCIONALES.mp4?csf=1&amp;web=1&amp;e=J8JT4e"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6%20ft%20696_20240719_094145_Chedraui.mp4?csf=1&amp;web=1&amp;e=KuEOlE"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9_FLUJO%20TRANSACCIONALES.mp4?csf=1&amp;web=1&amp;e=QKZ3Sm"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1_FLUJOS%20TRANSACCIONALES.mp4?csf=1&amp;web=1&amp;e=KsCyu3"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4%20F%20Transaccional%20696%20app_20240719_092738_Chedraui.mp4?csf=1&amp;web=1&amp;e=dPecJF"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9%20FT%20696_20240719_093523_Chedraui.mp4?csf=1&amp;web=1&amp;e=XPoXQ3"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0_FLUJOS%20TRANSACCIONALES.mp4?csf=1&amp;web=1&amp;e=PVdpLy"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8_FLUJOS%20TRANSACCIONALES.mp4?csf=1&amp;web=1&amp;e=RfccQi"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1061" TargetMode="External"/><Relationship Id="rId3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21" Type="http://schemas.openxmlformats.org/officeDocument/2006/relationships/hyperlink" Target="https://app.clickup.com/t/8499449/APP-250" TargetMode="External"/><Relationship Id="rId3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5%20FT%20696_20240719_093523_Chedraui.mp4?csf=1&amp;web=1&amp;e=fKKvUe" TargetMode="External"/><Relationship Id="rId4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0%20Recurrente.mp4?csf=1&amp;web=1&amp;e=WjItle" TargetMode="External"/><Relationship Id="rId4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3%20Chedraui.mp4?csf=1&amp;web=1&amp;e=mUezJT" TargetMode="External"/><Relationship Id="rId7"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2%20Establecimientos%20asociados.mp4?csf=1&amp;web=1&amp;e=8PIYBc"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32"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4%20Establecimientos%20asociados.mp4?csf=1&amp;web=1&amp;e=vwXQma" TargetMode="External"/><Relationship Id="rId3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8%20F%20Transaccional%20696%20app_20240719_092738_Chedraui.mp4?csf=1&amp;web=1&amp;e=FuRj5J" TargetMode="External"/><Relationship Id="rId4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31%20y%2032%20ft%20696_20240719_101315_Chedraui.mp4?csf=1&amp;web=1&amp;e=Rghrgq" TargetMode="External"/><Relationship Id="rId4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1%20Contra%20entrega.mp4?csf=1&amp;web=1&amp;e=PEHHHx"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6_FLUJOS%20TRANSACCIONALES.mp4?csf=1&amp;web=1&amp;e=KAMTY5" TargetMode="External"/><Relationship Id="rId3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7%20FT%20696_20240719_095756_Chedraui.mp4?csf=1&amp;web=1&amp;e=JLKrcD"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3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13%20Establecimientos.mp4?csf=1&amp;web=1&amp;e=Pns5iT" TargetMode="External"/><Relationship Id="rId44"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2%20Chedraui.mp4?csf=1&amp;web=1&amp;e=VlvVbh"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1_FLUJOS%20TRANSACCIONALES.mp4?csf=1&amp;web=1&amp;e=kfmoxS"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7_FLUJOS%20TRANSACCIONALES.mp4?csf=1&amp;web=1&amp;e=J8JT4e" TargetMode="External"/><Relationship Id="rId35"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6%20ft%20696_20240719_094145_Chedraui.mp4?csf=1&amp;web=1&amp;e=KuEOlE" TargetMode="External"/><Relationship Id="rId4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9_FLUJO%20TRANSACCIONALES.mp4?csf=1&amp;web=1&amp;e=QKZ3Sm" TargetMode="External"/><Relationship Id="rId4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1_FLUJOS%20TRANSACCIONALES.mp4?csf=1&amp;web=1&amp;e=KsCyu3" TargetMode="External"/><Relationship Id="rId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33"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4%20F%20Transaccional%20696%20app_20240719_092738_Chedraui.mp4?csf=1&amp;web=1&amp;e=dPecJF" TargetMode="External"/><Relationship Id="rId3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2029%20FT%20696_20240719_093523_Chedraui.mp4?csf=1&amp;web=1&amp;e=XPoXQ3" TargetMode="External"/><Relationship Id="rId46"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10_FLUJOS%20TRANSACCIONALES.mp4?csf=1&amp;web=1&amp;e=PVdpLy" TargetMode="External"/><Relationship Id="rId20" Type="http://schemas.openxmlformats.org/officeDocument/2006/relationships/hyperlink" Target="https://app.clickup.com/t/8499449/APP-250" TargetMode="External"/><Relationship Id="rId41"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19-07-2024/ID08_FLUJOS%20TRANSACCIONALES.mp4?csf=1&amp;web=1&amp;e=RfccQi"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499449/APP-1061"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26-06-2024/ID28%20-%20FLUJOS%20TRANSACCIONALES.mp4?csf=1&amp;web=1&amp;e=IvnHNu"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Version-681/Flujos%20transaccionales/Evidencia%20Android/Evidencia%2026-06-2024/ID26%20-%20FLUJOS%20TRANSACCIONALES.mp4?csf=1&amp;web=1&amp;e=rPCIFM"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1062"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app.clickup.com/t/86dtwpvtd"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61"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app.clickup.com/t/86dtwqt02"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app.clickup.com/t/8499449/APP-1059"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app.clickup.com/t/8499449/APP-250" TargetMode="External"/><Relationship Id="rId13" Type="http://schemas.openxmlformats.org/officeDocument/2006/relationships/hyperlink" Target="https://app.clickup.com/t/8499449/APP-250" TargetMode="External"/><Relationship Id="rId18" Type="http://schemas.openxmlformats.org/officeDocument/2006/relationships/hyperlink" Target="https://app.clickup.com/t/8499449/APP-250" TargetMode="External"/><Relationship Id="rId26"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6%20correos%20transaccional_20240617_132708_Chedraui%20(1).mp4?csf=1&amp;web=1&amp;e=R9SnMv" TargetMode="External"/><Relationship Id="rId3" Type="http://schemas.openxmlformats.org/officeDocument/2006/relationships/hyperlink" Target="https://app.clickup.com/t/8499449/APP-250" TargetMode="External"/><Relationship Id="rId21" Type="http://schemas.openxmlformats.org/officeDocument/2006/relationships/hyperlink" Target="https://app.clickup.com/t/8499449/APP-250" TargetMode="External"/><Relationship Id="rId7" Type="http://schemas.openxmlformats.org/officeDocument/2006/relationships/hyperlink" Target="https://app.clickup.com/t/8499449/APP-250" TargetMode="External"/><Relationship Id="rId12" Type="http://schemas.openxmlformats.org/officeDocument/2006/relationships/hyperlink" Target="https://app.clickup.com/t/8499449/APP-250" TargetMode="External"/><Relationship Id="rId17" Type="http://schemas.openxmlformats.org/officeDocument/2006/relationships/hyperlink" Target="https://app.clickup.com/t/8499449/APP-250" TargetMode="External"/><Relationship Id="rId25" Type="http://schemas.openxmlformats.org/officeDocument/2006/relationships/hyperlink" Target="https://app.clickup.com/t/8499449/APP-250" TargetMode="External"/><Relationship Id="rId2" Type="http://schemas.openxmlformats.org/officeDocument/2006/relationships/hyperlink" Target="https://app.clickup.com/t/8499449/APP-250" TargetMode="External"/><Relationship Id="rId16" Type="http://schemas.openxmlformats.org/officeDocument/2006/relationships/hyperlink" Target="https://app.clickup.com/t/8499449/APP-250" TargetMode="External"/><Relationship Id="rId20" Type="http://schemas.openxmlformats.org/officeDocument/2006/relationships/hyperlink" Target="https://app.clickup.com/t/8499449/APP-250" TargetMode="External"/><Relationship Id="rId29"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20%20flujo%20transacional_20240617_154318_Chedraui.mp4?csf=1&amp;web=1&amp;e=DPBjYP" TargetMode="External"/><Relationship Id="rId1" Type="http://schemas.openxmlformats.org/officeDocument/2006/relationships/hyperlink" Target="https://app.clickup.com/t/8499449/APP-250" TargetMode="External"/><Relationship Id="rId6" Type="http://schemas.openxmlformats.org/officeDocument/2006/relationships/hyperlink" Target="https://app.clickup.com/t/8499449/APP-250" TargetMode="External"/><Relationship Id="rId11" Type="http://schemas.openxmlformats.org/officeDocument/2006/relationships/hyperlink" Target="https://app.clickup.com/t/8499449/APP-250" TargetMode="External"/><Relationship Id="rId24" Type="http://schemas.openxmlformats.org/officeDocument/2006/relationships/hyperlink" Target="https://app.clickup.com/t/8499449/APP-250" TargetMode="External"/><Relationship Id="rId5" Type="http://schemas.openxmlformats.org/officeDocument/2006/relationships/hyperlink" Target="https://app.clickup.com/t/8499449/APP-250" TargetMode="External"/><Relationship Id="rId15" Type="http://schemas.openxmlformats.org/officeDocument/2006/relationships/hyperlink" Target="https://app.clickup.com/t/8499449/APP-250" TargetMode="External"/><Relationship Id="rId23" Type="http://schemas.openxmlformats.org/officeDocument/2006/relationships/hyperlink" Target="https://app.clickup.com/t/8499449/APP-250" TargetMode="External"/><Relationship Id="rId28"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14%20flujos%20TRANSACCIONALES_20240617_143317_Chedraui.mp4?csf=1&amp;web=1&amp;e=q4No0R" TargetMode="External"/><Relationship Id="rId10" Type="http://schemas.openxmlformats.org/officeDocument/2006/relationships/hyperlink" Target="https://app.clickup.com/t/8499449/APP-250" TargetMode="External"/><Relationship Id="rId19" Type="http://schemas.openxmlformats.org/officeDocument/2006/relationships/hyperlink" Target="https://app.clickup.com/t/8499449/APP-250" TargetMode="External"/><Relationship Id="rId4" Type="http://schemas.openxmlformats.org/officeDocument/2006/relationships/hyperlink" Target="https://app.clickup.com/t/8499449/APP-250" TargetMode="External"/><Relationship Id="rId9" Type="http://schemas.openxmlformats.org/officeDocument/2006/relationships/hyperlink" Target="https://app.clickup.com/t/8499449/APP-250" TargetMode="External"/><Relationship Id="rId14" Type="http://schemas.openxmlformats.org/officeDocument/2006/relationships/hyperlink" Target="https://app.clickup.com/t/8499449/APP-250" TargetMode="External"/><Relationship Id="rId22" Type="http://schemas.openxmlformats.org/officeDocument/2006/relationships/hyperlink" Target="https://app.clickup.com/t/8499449/APP-250" TargetMode="External"/><Relationship Id="rId27"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11%20Correo%20transaccional_20240617_141229_Brave.mp4?csf=1&amp;web=1&amp;e=OD0o7f" TargetMode="External"/><Relationship Id="rId30" Type="http://schemas.openxmlformats.org/officeDocument/2006/relationships/hyperlink" Target="https://netorgft4658651-my.sharepoint.com/:v:/r/sites/equipo-omnicanal/Shared%20Documents/General/QA%20Chedraui/Proyecto%20Nativo/Pruebas%20Aceptaci&#243;n%20Web%20-%20App/Aceptaci&#243;n%20App/3.%20Implementaci&#243;n/Flujos%20transaccionales/Evidencia%20Android/17-06-2024/ID%2024%20flujo%20transacional_20240617_155813_Chedraui.mp4?csf=1&amp;web=1&amp;e=S4INn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F683-F664-4C95-88E4-2A9AFFFC0E8D}">
  <dimension ref="A1:J3"/>
  <sheetViews>
    <sheetView tabSelected="1" workbookViewId="0">
      <selection activeCell="B13" sqref="B13"/>
    </sheetView>
  </sheetViews>
  <sheetFormatPr baseColWidth="10" defaultRowHeight="14.4"/>
  <cols>
    <col min="1" max="2" width="34.109375" bestFit="1" customWidth="1"/>
    <col min="3" max="3" width="40.44140625" customWidth="1"/>
    <col min="4" max="4" width="13.44140625" bestFit="1" customWidth="1"/>
    <col min="10" max="10" width="15.88671875" bestFit="1" customWidth="1"/>
  </cols>
  <sheetData>
    <row r="1" spans="1:10" ht="11.4" customHeight="1">
      <c r="A1" t="s">
        <v>389</v>
      </c>
      <c r="B1" t="s">
        <v>390</v>
      </c>
      <c r="C1" s="116" t="s">
        <v>393</v>
      </c>
      <c r="D1" t="s">
        <v>395</v>
      </c>
      <c r="E1" t="s">
        <v>392</v>
      </c>
      <c r="F1" t="s">
        <v>391</v>
      </c>
      <c r="G1" t="s">
        <v>396</v>
      </c>
      <c r="H1" t="s">
        <v>394</v>
      </c>
      <c r="I1" t="s">
        <v>397</v>
      </c>
      <c r="J1" t="s">
        <v>400</v>
      </c>
    </row>
    <row r="2" spans="1:10">
      <c r="A2" t="s">
        <v>387</v>
      </c>
      <c r="B2" t="s">
        <v>404</v>
      </c>
      <c r="C2" s="117"/>
    </row>
    <row r="3" spans="1:10">
      <c r="A3" t="s">
        <v>388</v>
      </c>
      <c r="B3" t="s">
        <v>401</v>
      </c>
      <c r="C3" s="1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98DD0-04DF-46E2-AE89-603FE9DF8BD7}">
  <dimension ref="A1:J4"/>
  <sheetViews>
    <sheetView workbookViewId="0">
      <selection sqref="A1:J4"/>
    </sheetView>
  </sheetViews>
  <sheetFormatPr baseColWidth="10" defaultRowHeight="14.4"/>
  <cols>
    <col min="3" max="3" width="17.109375" bestFit="1" customWidth="1"/>
  </cols>
  <sheetData>
    <row r="1" spans="1:10">
      <c r="A1" s="116" t="s">
        <v>383</v>
      </c>
      <c r="B1" s="116" t="s">
        <v>402</v>
      </c>
      <c r="C1" s="145"/>
      <c r="D1" s="116"/>
      <c r="E1" s="116"/>
      <c r="F1" s="116"/>
      <c r="G1" s="116"/>
      <c r="H1" s="116"/>
      <c r="I1" s="116"/>
      <c r="J1" s="116"/>
    </row>
    <row r="2" spans="1:10">
      <c r="A2" s="116" t="s">
        <v>384</v>
      </c>
      <c r="B2" s="116" t="s">
        <v>402</v>
      </c>
      <c r="C2" s="145"/>
      <c r="D2" s="116"/>
      <c r="E2" s="116"/>
      <c r="F2" s="116"/>
      <c r="G2" s="116"/>
      <c r="H2" s="116"/>
      <c r="I2" s="116"/>
      <c r="J2" s="116"/>
    </row>
    <row r="3" spans="1:10">
      <c r="A3" s="116" t="s">
        <v>385</v>
      </c>
      <c r="B3" s="116" t="s">
        <v>402</v>
      </c>
      <c r="C3" s="145">
        <v>4111111111111110</v>
      </c>
      <c r="D3" s="116"/>
      <c r="E3" s="116"/>
      <c r="F3" s="116"/>
      <c r="G3" s="116"/>
      <c r="H3" s="116"/>
      <c r="I3" s="116" t="s">
        <v>398</v>
      </c>
      <c r="J3" s="116"/>
    </row>
    <row r="4" spans="1:10">
      <c r="A4" s="116" t="s">
        <v>386</v>
      </c>
      <c r="B4" s="116" t="s">
        <v>403</v>
      </c>
      <c r="C4" s="145">
        <v>5105105105105100</v>
      </c>
      <c r="D4" s="116"/>
      <c r="E4" s="116"/>
      <c r="F4" s="116"/>
      <c r="G4" s="116"/>
      <c r="H4" s="116"/>
      <c r="I4" s="116" t="s">
        <v>399</v>
      </c>
      <c r="J4" s="1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84B0-7020-4228-BA63-87A3B98F18A3}">
  <dimension ref="A1:J22"/>
  <sheetViews>
    <sheetView topLeftCell="B1" workbookViewId="0">
      <pane ySplit="1" topLeftCell="A2" activePane="bottomLeft" state="frozen"/>
      <selection pane="bottomLeft" activeCell="F3" sqref="F3"/>
    </sheetView>
  </sheetViews>
  <sheetFormatPr baseColWidth="10" defaultColWidth="9.109375" defaultRowHeight="15" customHeight="1"/>
  <cols>
    <col min="1" max="1" width="9.109375" style="1" bestFit="1" customWidth="1"/>
    <col min="2" max="2" width="37.88671875" style="1" customWidth="1"/>
    <col min="3" max="3" width="40" style="1" customWidth="1"/>
    <col min="4" max="4" width="21" style="1" customWidth="1"/>
    <col min="5" max="5" width="51.5546875" style="1" customWidth="1"/>
    <col min="6" max="6" width="71.5546875" style="2" customWidth="1"/>
    <col min="7" max="8" width="21" style="1" customWidth="1"/>
    <col min="9" max="9" width="39.5546875" style="1" customWidth="1"/>
    <col min="10" max="10" width="21.44140625" style="1" customWidth="1"/>
    <col min="11" max="13" width="11.44140625" style="1"/>
    <col min="14" max="16384" width="9.109375" style="1"/>
  </cols>
  <sheetData>
    <row r="1" spans="1:10" ht="14.4">
      <c r="A1" s="108" t="s">
        <v>0</v>
      </c>
      <c r="B1" s="30" t="s">
        <v>1</v>
      </c>
      <c r="C1" s="30" t="s">
        <v>2</v>
      </c>
      <c r="D1" s="30" t="s">
        <v>3</v>
      </c>
      <c r="E1" s="30" t="s">
        <v>4</v>
      </c>
      <c r="F1" s="109" t="s">
        <v>5</v>
      </c>
      <c r="G1" s="30" t="s">
        <v>6</v>
      </c>
      <c r="H1" s="30" t="s">
        <v>7</v>
      </c>
      <c r="I1" s="30" t="s">
        <v>8</v>
      </c>
      <c r="J1" s="30" t="s">
        <v>9</v>
      </c>
    </row>
    <row r="2" spans="1:10" ht="144">
      <c r="A2" s="3">
        <v>1</v>
      </c>
      <c r="B2" s="95" t="s">
        <v>10</v>
      </c>
      <c r="C2" s="3" t="s">
        <v>11</v>
      </c>
      <c r="D2" s="3" t="s">
        <v>12</v>
      </c>
      <c r="E2" s="3" t="s">
        <v>13</v>
      </c>
      <c r="F2" s="100" t="s">
        <v>14</v>
      </c>
      <c r="G2" s="3"/>
      <c r="H2" s="113"/>
      <c r="I2" s="112"/>
      <c r="J2" s="3"/>
    </row>
    <row r="3" spans="1:10" ht="230.4">
      <c r="A3" s="3">
        <v>2</v>
      </c>
      <c r="B3" s="95" t="s">
        <v>15</v>
      </c>
      <c r="C3" s="3" t="s">
        <v>11</v>
      </c>
      <c r="D3" s="3" t="s">
        <v>16</v>
      </c>
      <c r="E3" s="3" t="s">
        <v>17</v>
      </c>
      <c r="F3" s="9" t="s">
        <v>18</v>
      </c>
      <c r="G3" s="3"/>
      <c r="H3" s="3"/>
      <c r="I3" s="114"/>
    </row>
    <row r="4" spans="1:10" ht="230.4">
      <c r="A4" s="3">
        <v>3</v>
      </c>
      <c r="B4" s="95" t="s">
        <v>19</v>
      </c>
      <c r="C4" s="3" t="s">
        <v>11</v>
      </c>
      <c r="D4" s="3" t="s">
        <v>16</v>
      </c>
      <c r="E4" s="3" t="s">
        <v>17</v>
      </c>
      <c r="F4" s="9" t="s">
        <v>18</v>
      </c>
      <c r="G4" s="3"/>
      <c r="H4" s="3"/>
      <c r="I4" s="114"/>
    </row>
    <row r="5" spans="1:10" ht="230.4">
      <c r="A5" s="3">
        <v>4</v>
      </c>
      <c r="B5" s="95" t="s">
        <v>20</v>
      </c>
      <c r="C5" s="3" t="s">
        <v>11</v>
      </c>
      <c r="D5" s="3" t="s">
        <v>16</v>
      </c>
      <c r="E5" s="3" t="s">
        <v>17</v>
      </c>
      <c r="F5" s="9" t="s">
        <v>18</v>
      </c>
      <c r="G5" s="3"/>
      <c r="H5" s="3"/>
      <c r="I5" s="114"/>
    </row>
    <row r="6" spans="1:10" ht="201.6">
      <c r="A6" s="3">
        <v>5</v>
      </c>
      <c r="B6" s="95" t="s">
        <v>21</v>
      </c>
      <c r="C6" s="3" t="s">
        <v>11</v>
      </c>
      <c r="D6" s="3" t="s">
        <v>16</v>
      </c>
      <c r="E6" s="3" t="s">
        <v>22</v>
      </c>
      <c r="F6" s="100" t="s">
        <v>23</v>
      </c>
      <c r="G6" s="3"/>
      <c r="H6" s="3"/>
      <c r="I6" s="112"/>
    </row>
    <row r="7" spans="1:10" ht="201.6">
      <c r="A7" s="3">
        <v>6</v>
      </c>
      <c r="B7" s="95" t="s">
        <v>24</v>
      </c>
      <c r="C7" s="3" t="s">
        <v>11</v>
      </c>
      <c r="D7" s="3" t="s">
        <v>16</v>
      </c>
      <c r="E7" s="3" t="s">
        <v>25</v>
      </c>
      <c r="F7" s="9" t="s">
        <v>26</v>
      </c>
      <c r="G7" s="3"/>
      <c r="H7" s="3"/>
      <c r="I7" s="112"/>
    </row>
    <row r="8" spans="1:10" ht="201.6">
      <c r="A8" s="3">
        <v>7</v>
      </c>
      <c r="B8" s="95" t="s">
        <v>27</v>
      </c>
      <c r="C8" s="3" t="s">
        <v>11</v>
      </c>
      <c r="D8" s="3" t="s">
        <v>16</v>
      </c>
      <c r="E8" s="3" t="s">
        <v>28</v>
      </c>
      <c r="F8" s="100" t="s">
        <v>29</v>
      </c>
      <c r="G8" s="3"/>
      <c r="H8" s="3"/>
      <c r="I8" s="115"/>
      <c r="J8" s="1" t="s">
        <v>30</v>
      </c>
    </row>
    <row r="9" spans="1:10" ht="100.8">
      <c r="A9" s="3">
        <v>8</v>
      </c>
      <c r="B9" s="95" t="s">
        <v>31</v>
      </c>
      <c r="C9" s="3" t="s">
        <v>11</v>
      </c>
      <c r="D9" s="3" t="s">
        <v>16</v>
      </c>
      <c r="E9" s="3" t="s">
        <v>28</v>
      </c>
      <c r="F9" s="100" t="s">
        <v>32</v>
      </c>
      <c r="G9" s="3"/>
      <c r="H9" s="3"/>
      <c r="I9" s="115"/>
    </row>
    <row r="10" spans="1:10" ht="230.4">
      <c r="A10" s="3">
        <v>9</v>
      </c>
      <c r="B10" s="95" t="s">
        <v>33</v>
      </c>
      <c r="C10" s="3" t="s">
        <v>11</v>
      </c>
      <c r="D10" s="3" t="s">
        <v>16</v>
      </c>
      <c r="E10" s="3" t="s">
        <v>34</v>
      </c>
      <c r="F10" s="9" t="s">
        <v>18</v>
      </c>
      <c r="G10" s="3"/>
      <c r="H10" s="3"/>
      <c r="I10" s="114"/>
    </row>
    <row r="11" spans="1:10" ht="230.4">
      <c r="A11" s="3">
        <v>10</v>
      </c>
      <c r="B11" s="95" t="s">
        <v>35</v>
      </c>
      <c r="C11" s="3" t="s">
        <v>11</v>
      </c>
      <c r="D11" s="3" t="s">
        <v>16</v>
      </c>
      <c r="E11" s="3" t="s">
        <v>17</v>
      </c>
      <c r="F11" s="9" t="s">
        <v>18</v>
      </c>
      <c r="G11" s="3"/>
      <c r="H11" s="3"/>
      <c r="I11" s="112"/>
    </row>
    <row r="12" spans="1:10" ht="230.4">
      <c r="A12" s="3">
        <v>11</v>
      </c>
      <c r="B12" s="95" t="s">
        <v>36</v>
      </c>
      <c r="C12" s="3" t="s">
        <v>11</v>
      </c>
      <c r="D12" s="3" t="s">
        <v>16</v>
      </c>
      <c r="E12" s="3" t="s">
        <v>17</v>
      </c>
      <c r="F12" s="9" t="s">
        <v>18</v>
      </c>
      <c r="G12" s="3"/>
      <c r="H12" s="3"/>
      <c r="I12" s="114"/>
    </row>
    <row r="13" spans="1:10" ht="230.4">
      <c r="A13" s="3">
        <v>12</v>
      </c>
      <c r="B13" s="95" t="s">
        <v>37</v>
      </c>
      <c r="C13" s="3" t="s">
        <v>11</v>
      </c>
      <c r="D13" s="3" t="s">
        <v>16</v>
      </c>
      <c r="E13" s="3" t="s">
        <v>17</v>
      </c>
      <c r="F13" s="9" t="s">
        <v>18</v>
      </c>
      <c r="G13" s="3"/>
      <c r="H13" s="3"/>
      <c r="I13" s="114"/>
    </row>
    <row r="14" spans="1:10" ht="230.4">
      <c r="A14" s="3">
        <v>13</v>
      </c>
      <c r="B14" s="95" t="s">
        <v>38</v>
      </c>
      <c r="C14" s="3" t="s">
        <v>11</v>
      </c>
      <c r="D14" s="3" t="s">
        <v>16</v>
      </c>
      <c r="E14" s="3" t="s">
        <v>39</v>
      </c>
      <c r="F14" s="9" t="s">
        <v>40</v>
      </c>
      <c r="G14" s="3"/>
      <c r="H14" s="3"/>
      <c r="I14" s="112"/>
    </row>
    <row r="15" spans="1:10" ht="244.8">
      <c r="A15" s="3">
        <v>14</v>
      </c>
      <c r="B15" s="95" t="s">
        <v>41</v>
      </c>
      <c r="C15" s="3" t="s">
        <v>11</v>
      </c>
      <c r="D15" s="3" t="s">
        <v>16</v>
      </c>
      <c r="E15" s="3" t="s">
        <v>22</v>
      </c>
      <c r="F15" s="9" t="s">
        <v>42</v>
      </c>
      <c r="G15" s="3"/>
      <c r="H15" s="3"/>
      <c r="I15" s="112"/>
    </row>
    <row r="16" spans="1:10" ht="201.6">
      <c r="A16" s="3">
        <v>15</v>
      </c>
      <c r="B16" s="95" t="s">
        <v>43</v>
      </c>
      <c r="C16" s="3" t="s">
        <v>11</v>
      </c>
      <c r="D16" s="3" t="s">
        <v>16</v>
      </c>
      <c r="E16" s="3" t="s">
        <v>25</v>
      </c>
      <c r="F16" s="9" t="s">
        <v>26</v>
      </c>
      <c r="G16" s="3"/>
      <c r="H16" s="3"/>
      <c r="I16" s="112"/>
    </row>
    <row r="17" spans="1:10" ht="201.6">
      <c r="A17" s="3">
        <v>16</v>
      </c>
      <c r="B17" s="95" t="s">
        <v>44</v>
      </c>
      <c r="C17" s="3" t="s">
        <v>11</v>
      </c>
      <c r="D17" s="3" t="s">
        <v>16</v>
      </c>
      <c r="E17" s="3" t="s">
        <v>28</v>
      </c>
      <c r="F17" s="100" t="s">
        <v>29</v>
      </c>
      <c r="G17" s="3"/>
      <c r="H17" s="24"/>
      <c r="I17" s="112"/>
    </row>
    <row r="18" spans="1:10" ht="100.8">
      <c r="A18" s="3">
        <v>17</v>
      </c>
      <c r="B18" s="95" t="s">
        <v>45</v>
      </c>
      <c r="C18" s="3" t="s">
        <v>11</v>
      </c>
      <c r="D18" s="3" t="s">
        <v>16</v>
      </c>
      <c r="E18" s="3" t="s">
        <v>28</v>
      </c>
      <c r="F18" s="100" t="s">
        <v>32</v>
      </c>
      <c r="G18" s="3"/>
      <c r="H18" s="3"/>
      <c r="I18" s="115"/>
    </row>
    <row r="19" spans="1:10" ht="230.4">
      <c r="A19" s="3">
        <v>18</v>
      </c>
      <c r="B19" s="95" t="s">
        <v>46</v>
      </c>
      <c r="C19" s="3" t="s">
        <v>11</v>
      </c>
      <c r="D19" s="3" t="s">
        <v>16</v>
      </c>
      <c r="E19" s="3" t="s">
        <v>34</v>
      </c>
      <c r="F19" s="9" t="s">
        <v>18</v>
      </c>
      <c r="G19" s="3"/>
      <c r="H19" s="3"/>
      <c r="I19" s="114"/>
    </row>
    <row r="20" spans="1:10" ht="230.4">
      <c r="A20" s="3">
        <v>19</v>
      </c>
      <c r="B20" s="95" t="s">
        <v>47</v>
      </c>
      <c r="C20" s="3" t="s">
        <v>11</v>
      </c>
      <c r="D20" s="3" t="s">
        <v>16</v>
      </c>
      <c r="E20" s="3" t="s">
        <v>48</v>
      </c>
      <c r="F20" s="9" t="s">
        <v>18</v>
      </c>
      <c r="G20" s="24"/>
      <c r="H20" s="113"/>
      <c r="I20" s="112"/>
      <c r="J20" s="3"/>
    </row>
    <row r="21" spans="1:10" ht="230.4">
      <c r="A21" s="3">
        <v>20</v>
      </c>
      <c r="B21" s="95" t="s">
        <v>49</v>
      </c>
      <c r="C21" s="3" t="s">
        <v>11</v>
      </c>
      <c r="D21" s="3" t="s">
        <v>16</v>
      </c>
      <c r="E21" s="3" t="s">
        <v>50</v>
      </c>
      <c r="F21" s="9" t="s">
        <v>18</v>
      </c>
      <c r="G21" s="24"/>
      <c r="H21" s="113"/>
      <c r="I21" s="112"/>
      <c r="J21" s="3"/>
    </row>
    <row r="22" spans="1:10" ht="14.4"/>
  </sheetData>
  <autoFilter ref="A1:J21" xr:uid="{703084B0-7020-4228-BA63-87A3B98F18A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724DB-1A94-4063-A318-86352BC79020}">
  <sheetPr filterMode="1"/>
  <dimension ref="A1:N33"/>
  <sheetViews>
    <sheetView workbookViewId="0">
      <pane ySplit="1" topLeftCell="A2" activePane="bottomLeft" state="frozen"/>
      <selection pane="bottomLeft" activeCell="D1" sqref="D1"/>
    </sheetView>
  </sheetViews>
  <sheetFormatPr baseColWidth="10" defaultColWidth="11.44140625" defaultRowHeight="14.4"/>
  <cols>
    <col min="1" max="1" width="0" style="1" hidden="1" customWidth="1"/>
    <col min="2" max="3" width="9.109375" style="1" bestFit="1" customWidth="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6.33203125" style="1" customWidth="1"/>
    <col min="14" max="14" width="21.44140625" style="1" customWidth="1"/>
    <col min="15" max="16384" width="11.44140625" style="1"/>
  </cols>
  <sheetData>
    <row r="1" spans="1:14" ht="28.8">
      <c r="B1" s="1" t="s">
        <v>51</v>
      </c>
      <c r="C1" s="108" t="s">
        <v>0</v>
      </c>
      <c r="D1" s="30" t="s">
        <v>1</v>
      </c>
      <c r="E1" s="30" t="s">
        <v>2</v>
      </c>
      <c r="F1" s="30" t="s">
        <v>3</v>
      </c>
      <c r="G1" s="30" t="s">
        <v>4</v>
      </c>
      <c r="H1" s="109" t="s">
        <v>5</v>
      </c>
      <c r="I1" s="30" t="s">
        <v>52</v>
      </c>
      <c r="J1" s="30" t="s">
        <v>6</v>
      </c>
      <c r="K1" s="30" t="s">
        <v>7</v>
      </c>
      <c r="L1" s="30" t="s">
        <v>8</v>
      </c>
      <c r="M1" s="30" t="s">
        <v>53</v>
      </c>
      <c r="N1" s="30" t="s">
        <v>9</v>
      </c>
    </row>
    <row r="2" spans="1:14" ht="144">
      <c r="A2" s="1" t="s">
        <v>54</v>
      </c>
      <c r="B2" s="1" t="s">
        <v>55</v>
      </c>
      <c r="C2" s="15">
        <v>1</v>
      </c>
      <c r="D2" s="3" t="s">
        <v>10</v>
      </c>
      <c r="E2" s="3" t="s">
        <v>56</v>
      </c>
      <c r="F2" s="3" t="s">
        <v>12</v>
      </c>
      <c r="G2" s="3" t="s">
        <v>57</v>
      </c>
      <c r="H2" s="100" t="s">
        <v>14</v>
      </c>
      <c r="I2" s="3" t="s">
        <v>58</v>
      </c>
      <c r="J2" s="15" t="s">
        <v>59</v>
      </c>
      <c r="K2" s="3"/>
      <c r="L2" s="4" t="s">
        <v>60</v>
      </c>
      <c r="M2" s="106" t="s">
        <v>61</v>
      </c>
      <c r="N2" s="1" t="s">
        <v>62</v>
      </c>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01.6">
      <c r="A7" s="1" t="s">
        <v>54</v>
      </c>
      <c r="B7" s="1" t="s">
        <v>76</v>
      </c>
      <c r="C7" s="15">
        <v>6</v>
      </c>
      <c r="D7" s="7" t="s">
        <v>77</v>
      </c>
      <c r="E7" s="3" t="s">
        <v>56</v>
      </c>
      <c r="F7" s="3" t="s">
        <v>16</v>
      </c>
      <c r="G7" s="3" t="s">
        <v>78</v>
      </c>
      <c r="H7" s="100" t="s">
        <v>23</v>
      </c>
      <c r="I7" s="3" t="s">
        <v>79</v>
      </c>
      <c r="J7" s="29" t="s">
        <v>80</v>
      </c>
      <c r="K7" s="3" t="s">
        <v>81</v>
      </c>
      <c r="L7" s="4" t="s">
        <v>82</v>
      </c>
      <c r="M7" s="106" t="s">
        <v>83</v>
      </c>
      <c r="N7" s="1" t="s">
        <v>84</v>
      </c>
    </row>
    <row r="8" spans="1:14" ht="316.8">
      <c r="A8" s="11" t="s">
        <v>54</v>
      </c>
      <c r="B8" s="1" t="s">
        <v>55</v>
      </c>
      <c r="C8" s="15">
        <v>7</v>
      </c>
      <c r="D8" s="7" t="s">
        <v>85</v>
      </c>
      <c r="E8" s="3" t="s">
        <v>56</v>
      </c>
      <c r="F8" s="3" t="s">
        <v>16</v>
      </c>
      <c r="G8" s="3" t="s">
        <v>86</v>
      </c>
      <c r="H8" s="100" t="s">
        <v>87</v>
      </c>
      <c r="I8" s="3" t="s">
        <v>88</v>
      </c>
      <c r="J8" s="15" t="s">
        <v>59</v>
      </c>
      <c r="K8" s="3" t="s">
        <v>81</v>
      </c>
      <c r="L8" s="99" t="s">
        <v>89</v>
      </c>
      <c r="M8" s="111" t="s">
        <v>90</v>
      </c>
      <c r="N8" s="110" t="s">
        <v>91</v>
      </c>
    </row>
    <row r="9" spans="1:14" ht="316.8">
      <c r="A9" s="1" t="s">
        <v>54</v>
      </c>
      <c r="B9" s="1" t="s">
        <v>76</v>
      </c>
      <c r="C9" s="15">
        <v>8</v>
      </c>
      <c r="D9" s="7" t="s">
        <v>92</v>
      </c>
      <c r="E9" s="3" t="s">
        <v>56</v>
      </c>
      <c r="F9" s="3" t="s">
        <v>16</v>
      </c>
      <c r="G9" s="3" t="s">
        <v>86</v>
      </c>
      <c r="H9" s="100" t="s">
        <v>87</v>
      </c>
      <c r="I9" s="3" t="s">
        <v>93</v>
      </c>
      <c r="J9" s="29" t="s">
        <v>80</v>
      </c>
      <c r="K9" s="3" t="s">
        <v>81</v>
      </c>
      <c r="L9" s="4" t="s">
        <v>89</v>
      </c>
      <c r="M9" s="106" t="s">
        <v>94</v>
      </c>
      <c r="N9" s="1" t="s">
        <v>95</v>
      </c>
    </row>
    <row r="10" spans="1:14" ht="316.8">
      <c r="A10" s="11" t="s">
        <v>54</v>
      </c>
      <c r="B10" s="1" t="s">
        <v>55</v>
      </c>
      <c r="C10" s="15">
        <v>9</v>
      </c>
      <c r="D10" s="7" t="s">
        <v>96</v>
      </c>
      <c r="E10" s="3" t="s">
        <v>56</v>
      </c>
      <c r="F10" s="3" t="s">
        <v>16</v>
      </c>
      <c r="G10" s="3" t="s">
        <v>86</v>
      </c>
      <c r="H10" s="100" t="s">
        <v>87</v>
      </c>
      <c r="I10" s="3" t="s">
        <v>88</v>
      </c>
      <c r="J10" s="15" t="s">
        <v>59</v>
      </c>
      <c r="K10" s="3"/>
      <c r="L10" s="4" t="s">
        <v>89</v>
      </c>
      <c r="M10" s="106" t="s">
        <v>97</v>
      </c>
      <c r="N10" s="110" t="s">
        <v>91</v>
      </c>
    </row>
    <row r="11" spans="1:14" ht="316.8">
      <c r="A11" s="1" t="s">
        <v>54</v>
      </c>
      <c r="B11" s="1" t="s">
        <v>76</v>
      </c>
      <c r="C11" s="15">
        <v>10</v>
      </c>
      <c r="D11" s="7" t="s">
        <v>98</v>
      </c>
      <c r="E11" s="3" t="s">
        <v>56</v>
      </c>
      <c r="F11" s="3" t="s">
        <v>16</v>
      </c>
      <c r="G11" s="3" t="s">
        <v>86</v>
      </c>
      <c r="H11" s="9" t="s">
        <v>87</v>
      </c>
      <c r="I11" s="3" t="s">
        <v>99</v>
      </c>
      <c r="J11" s="15" t="s">
        <v>59</v>
      </c>
      <c r="K11" s="3"/>
      <c r="L11" s="4" t="s">
        <v>89</v>
      </c>
      <c r="M11" s="106" t="s">
        <v>94</v>
      </c>
      <c r="N11" s="1" t="s">
        <v>30</v>
      </c>
    </row>
    <row r="12" spans="1:14" ht="374.4">
      <c r="A12" s="11" t="s">
        <v>100</v>
      </c>
      <c r="B12" s="1" t="s">
        <v>55</v>
      </c>
      <c r="C12" s="15">
        <v>11</v>
      </c>
      <c r="D12" s="7" t="s">
        <v>101</v>
      </c>
      <c r="E12" s="3" t="s">
        <v>56</v>
      </c>
      <c r="F12" s="3" t="s">
        <v>16</v>
      </c>
      <c r="G12" s="3" t="s">
        <v>86</v>
      </c>
      <c r="H12" s="9" t="s">
        <v>102</v>
      </c>
      <c r="I12" s="3" t="s">
        <v>103</v>
      </c>
      <c r="J12" s="15" t="s">
        <v>59</v>
      </c>
      <c r="K12" s="27"/>
      <c r="L12" s="4" t="s">
        <v>89</v>
      </c>
      <c r="M12" s="106" t="s">
        <v>104</v>
      </c>
      <c r="N12" s="1" t="s">
        <v>105</v>
      </c>
    </row>
    <row r="13" spans="1:14" ht="374.4">
      <c r="A13" s="11" t="s">
        <v>54</v>
      </c>
      <c r="B13" s="1" t="s">
        <v>76</v>
      </c>
      <c r="C13" s="15">
        <v>12</v>
      </c>
      <c r="D13" s="7" t="s">
        <v>106</v>
      </c>
      <c r="E13" s="3" t="s">
        <v>56</v>
      </c>
      <c r="F13" s="3" t="s">
        <v>16</v>
      </c>
      <c r="G13" s="3" t="s">
        <v>107</v>
      </c>
      <c r="H13" s="9" t="s">
        <v>102</v>
      </c>
      <c r="I13" s="3" t="s">
        <v>93</v>
      </c>
      <c r="J13" s="29" t="s">
        <v>80</v>
      </c>
      <c r="K13" s="3" t="s">
        <v>81</v>
      </c>
      <c r="L13" s="4" t="s">
        <v>89</v>
      </c>
      <c r="M13" s="106" t="s">
        <v>94</v>
      </c>
      <c r="N13" s="1" t="s">
        <v>95</v>
      </c>
    </row>
    <row r="14" spans="1:14" ht="374.4">
      <c r="A14" s="1" t="s">
        <v>54</v>
      </c>
      <c r="B14" s="1" t="s">
        <v>55</v>
      </c>
      <c r="C14" s="15">
        <v>13</v>
      </c>
      <c r="D14" s="7" t="s">
        <v>108</v>
      </c>
      <c r="E14" s="3" t="s">
        <v>56</v>
      </c>
      <c r="F14" s="3" t="s">
        <v>16</v>
      </c>
      <c r="G14" s="3" t="s">
        <v>107</v>
      </c>
      <c r="H14" s="9" t="s">
        <v>102</v>
      </c>
      <c r="I14" s="3" t="s">
        <v>109</v>
      </c>
      <c r="J14" s="29" t="s">
        <v>110</v>
      </c>
      <c r="K14" s="3"/>
      <c r="L14" s="4" t="s">
        <v>89</v>
      </c>
      <c r="M14" s="111" t="s">
        <v>111</v>
      </c>
      <c r="N14" s="1" t="s">
        <v>112</v>
      </c>
    </row>
    <row r="15" spans="1:14" ht="374.4">
      <c r="A15" s="1" t="s">
        <v>100</v>
      </c>
      <c r="B15" s="1" t="s">
        <v>76</v>
      </c>
      <c r="C15" s="15">
        <v>14</v>
      </c>
      <c r="D15" s="7" t="s">
        <v>113</v>
      </c>
      <c r="E15" s="3" t="s">
        <v>56</v>
      </c>
      <c r="F15" s="3" t="s">
        <v>16</v>
      </c>
      <c r="G15" s="3" t="s">
        <v>107</v>
      </c>
      <c r="H15" s="9" t="s">
        <v>102</v>
      </c>
      <c r="I15" s="3" t="s">
        <v>99</v>
      </c>
      <c r="J15" s="15" t="s">
        <v>59</v>
      </c>
      <c r="K15" s="18"/>
      <c r="L15" s="4" t="s">
        <v>89</v>
      </c>
      <c r="M15" s="106" t="s">
        <v>114</v>
      </c>
      <c r="N15" s="1" t="s">
        <v>30</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c r="A21" s="1" t="s">
        <v>100</v>
      </c>
      <c r="B21" s="1" t="s">
        <v>55</v>
      </c>
      <c r="C21" s="15">
        <v>20</v>
      </c>
      <c r="D21" s="10" t="s">
        <v>120</v>
      </c>
      <c r="E21" s="3" t="s">
        <v>56</v>
      </c>
      <c r="F21" s="3" t="s">
        <v>16</v>
      </c>
      <c r="G21" s="3" t="s">
        <v>78</v>
      </c>
      <c r="H21" s="9" t="s">
        <v>23</v>
      </c>
      <c r="I21" s="3" t="s">
        <v>121</v>
      </c>
      <c r="J21" s="15" t="s">
        <v>59</v>
      </c>
      <c r="K21" s="24"/>
      <c r="L21" s="4" t="s">
        <v>82</v>
      </c>
      <c r="M21" s="27"/>
      <c r="N21" s="1" t="s">
        <v>122</v>
      </c>
    </row>
    <row r="22" spans="1:14" ht="201.6">
      <c r="B22" s="1" t="s">
        <v>76</v>
      </c>
      <c r="C22" s="15">
        <v>21</v>
      </c>
      <c r="D22" s="10" t="s">
        <v>120</v>
      </c>
      <c r="E22" s="3" t="s">
        <v>56</v>
      </c>
      <c r="F22" s="3" t="s">
        <v>16</v>
      </c>
      <c r="G22" s="3" t="s">
        <v>78</v>
      </c>
      <c r="H22" s="9" t="s">
        <v>23</v>
      </c>
      <c r="I22" s="3" t="s">
        <v>79</v>
      </c>
      <c r="J22" s="29" t="s">
        <v>80</v>
      </c>
      <c r="K22" s="3" t="s">
        <v>81</v>
      </c>
      <c r="L22" s="4" t="s">
        <v>82</v>
      </c>
      <c r="M22" s="106" t="s">
        <v>123</v>
      </c>
      <c r="N22" s="1" t="s">
        <v>84</v>
      </c>
    </row>
    <row r="23" spans="1:14" ht="316.8">
      <c r="B23" s="1" t="s">
        <v>55</v>
      </c>
      <c r="C23" s="15">
        <v>22</v>
      </c>
      <c r="D23" s="10" t="s">
        <v>124</v>
      </c>
      <c r="E23" s="3" t="s">
        <v>56</v>
      </c>
      <c r="F23" s="3" t="s">
        <v>16</v>
      </c>
      <c r="G23" s="3" t="s">
        <v>86</v>
      </c>
      <c r="H23" s="9" t="s">
        <v>87</v>
      </c>
      <c r="I23" s="3" t="s">
        <v>125</v>
      </c>
      <c r="J23" s="15" t="s">
        <v>59</v>
      </c>
      <c r="K23" s="3"/>
      <c r="L23" s="4" t="s">
        <v>89</v>
      </c>
      <c r="M23" s="106" t="s">
        <v>126</v>
      </c>
      <c r="N23" s="1" t="s">
        <v>127</v>
      </c>
    </row>
    <row r="24" spans="1:14" ht="316.8">
      <c r="A24" s="11"/>
      <c r="B24" s="1" t="s">
        <v>76</v>
      </c>
      <c r="C24" s="15">
        <v>23</v>
      </c>
      <c r="D24" s="10" t="s">
        <v>128</v>
      </c>
      <c r="E24" s="3" t="s">
        <v>56</v>
      </c>
      <c r="F24" s="3" t="s">
        <v>16</v>
      </c>
      <c r="G24" s="3" t="s">
        <v>86</v>
      </c>
      <c r="H24" s="9" t="s">
        <v>87</v>
      </c>
      <c r="I24" s="3" t="s">
        <v>93</v>
      </c>
      <c r="J24" s="29" t="s">
        <v>80</v>
      </c>
      <c r="K24" s="3" t="s">
        <v>81</v>
      </c>
      <c r="L24" s="4" t="s">
        <v>89</v>
      </c>
      <c r="M24" s="106" t="s">
        <v>129</v>
      </c>
      <c r="N24" s="1" t="s">
        <v>95</v>
      </c>
    </row>
    <row r="25" spans="1:14" ht="316.8">
      <c r="A25" s="11" t="s">
        <v>130</v>
      </c>
      <c r="B25" s="1" t="s">
        <v>55</v>
      </c>
      <c r="C25" s="15">
        <v>24</v>
      </c>
      <c r="D25" s="10" t="s">
        <v>131</v>
      </c>
      <c r="E25" s="3" t="s">
        <v>56</v>
      </c>
      <c r="F25" s="3" t="s">
        <v>16</v>
      </c>
      <c r="G25" s="3" t="s">
        <v>86</v>
      </c>
      <c r="H25" s="9" t="s">
        <v>87</v>
      </c>
      <c r="I25" s="3" t="s">
        <v>132</v>
      </c>
      <c r="J25" s="15" t="s">
        <v>59</v>
      </c>
      <c r="K25" s="18"/>
      <c r="L25" s="4" t="s">
        <v>89</v>
      </c>
      <c r="M25" s="27" t="s">
        <v>133</v>
      </c>
      <c r="N25" s="1" t="s">
        <v>134</v>
      </c>
    </row>
    <row r="26" spans="1:14" ht="316.8">
      <c r="B26" s="1" t="s">
        <v>76</v>
      </c>
      <c r="C26" s="15">
        <v>25</v>
      </c>
      <c r="D26" s="10" t="s">
        <v>135</v>
      </c>
      <c r="E26" s="3" t="s">
        <v>56</v>
      </c>
      <c r="F26" s="3" t="s">
        <v>16</v>
      </c>
      <c r="G26" s="3" t="s">
        <v>86</v>
      </c>
      <c r="H26" s="9" t="s">
        <v>87</v>
      </c>
      <c r="I26" s="3" t="s">
        <v>136</v>
      </c>
      <c r="J26" s="15" t="s">
        <v>59</v>
      </c>
      <c r="K26" s="3"/>
      <c r="L26" s="4" t="s">
        <v>89</v>
      </c>
      <c r="M26" s="106" t="s">
        <v>137</v>
      </c>
      <c r="N26" s="1" t="s">
        <v>30</v>
      </c>
    </row>
    <row r="27" spans="1:14" ht="374.4">
      <c r="B27" s="1" t="s">
        <v>55</v>
      </c>
      <c r="C27" s="15">
        <v>26</v>
      </c>
      <c r="D27" s="10" t="s">
        <v>138</v>
      </c>
      <c r="E27" s="3" t="s">
        <v>56</v>
      </c>
      <c r="F27" s="3" t="s">
        <v>16</v>
      </c>
      <c r="G27" s="3" t="s">
        <v>86</v>
      </c>
      <c r="H27" s="9" t="s">
        <v>102</v>
      </c>
      <c r="I27" s="3" t="s">
        <v>139</v>
      </c>
      <c r="J27" s="15" t="s">
        <v>59</v>
      </c>
      <c r="K27" s="3"/>
      <c r="L27" s="4" t="s">
        <v>89</v>
      </c>
      <c r="M27" s="111" t="s">
        <v>140</v>
      </c>
    </row>
    <row r="28" spans="1:14" ht="374.4">
      <c r="B28" s="1" t="s">
        <v>76</v>
      </c>
      <c r="C28" s="15">
        <v>27</v>
      </c>
      <c r="D28" s="10" t="s">
        <v>141</v>
      </c>
      <c r="E28" s="3" t="s">
        <v>56</v>
      </c>
      <c r="F28" s="3" t="s">
        <v>16</v>
      </c>
      <c r="G28" s="3" t="s">
        <v>107</v>
      </c>
      <c r="H28" s="9" t="s">
        <v>102</v>
      </c>
      <c r="I28" s="3" t="s">
        <v>93</v>
      </c>
      <c r="J28" s="29" t="s">
        <v>80</v>
      </c>
      <c r="K28" s="3" t="s">
        <v>81</v>
      </c>
      <c r="L28" s="4" t="s">
        <v>89</v>
      </c>
      <c r="M28" s="106" t="s">
        <v>129</v>
      </c>
      <c r="N28" s="1" t="s">
        <v>95</v>
      </c>
    </row>
    <row r="29" spans="1:14" ht="374.4">
      <c r="A29" s="11"/>
      <c r="B29" s="1" t="s">
        <v>55</v>
      </c>
      <c r="C29" s="15">
        <v>28</v>
      </c>
      <c r="D29" s="10" t="s">
        <v>142</v>
      </c>
      <c r="E29" s="3" t="s">
        <v>56</v>
      </c>
      <c r="F29" s="3" t="s">
        <v>16</v>
      </c>
      <c r="G29" s="3" t="s">
        <v>107</v>
      </c>
      <c r="H29" s="9" t="s">
        <v>102</v>
      </c>
      <c r="I29" s="3" t="s">
        <v>143</v>
      </c>
      <c r="J29" s="15" t="s">
        <v>59</v>
      </c>
      <c r="K29" s="3"/>
      <c r="L29" s="4" t="s">
        <v>89</v>
      </c>
      <c r="M29" s="106" t="s">
        <v>144</v>
      </c>
      <c r="N29" s="1" t="s">
        <v>145</v>
      </c>
    </row>
    <row r="30" spans="1:14" ht="374.4">
      <c r="A30" s="11"/>
      <c r="B30" s="1" t="s">
        <v>76</v>
      </c>
      <c r="C30" s="15">
        <v>29</v>
      </c>
      <c r="D30" s="10" t="s">
        <v>146</v>
      </c>
      <c r="E30" s="3" t="s">
        <v>56</v>
      </c>
      <c r="F30" s="3" t="s">
        <v>16</v>
      </c>
      <c r="G30" s="3" t="s">
        <v>107</v>
      </c>
      <c r="H30" s="9" t="s">
        <v>102</v>
      </c>
      <c r="I30" s="3" t="s">
        <v>147</v>
      </c>
      <c r="J30" s="15" t="s">
        <v>59</v>
      </c>
      <c r="K30" s="106" t="s">
        <v>148</v>
      </c>
      <c r="L30" s="4" t="s">
        <v>89</v>
      </c>
      <c r="M30" s="106"/>
      <c r="N30" s="1" t="s">
        <v>30</v>
      </c>
    </row>
    <row r="31" spans="1:14" ht="230.4" hidden="1">
      <c r="B31" s="94"/>
      <c r="C31" s="97">
        <v>30</v>
      </c>
      <c r="D31" s="12" t="s">
        <v>46</v>
      </c>
      <c r="E31" s="13" t="s">
        <v>56</v>
      </c>
      <c r="F31" s="13" t="s">
        <v>16</v>
      </c>
      <c r="G31" s="13" t="s">
        <v>63</v>
      </c>
      <c r="H31" s="9" t="s">
        <v>18</v>
      </c>
      <c r="I31" s="3"/>
      <c r="J31" s="3"/>
      <c r="K31" s="3"/>
      <c r="L31" s="4" t="s">
        <v>64</v>
      </c>
      <c r="M31" s="3"/>
    </row>
    <row r="32" spans="1:14" ht="230.4">
      <c r="A32" s="11"/>
      <c r="B32" s="1" t="s">
        <v>55</v>
      </c>
      <c r="C32" s="15">
        <v>31</v>
      </c>
      <c r="D32" s="3" t="s">
        <v>47</v>
      </c>
      <c r="E32" s="3" t="s">
        <v>56</v>
      </c>
      <c r="F32" s="3" t="s">
        <v>16</v>
      </c>
      <c r="G32" s="3" t="s">
        <v>149</v>
      </c>
      <c r="H32" s="9" t="s">
        <v>18</v>
      </c>
      <c r="I32" s="3" t="s">
        <v>150</v>
      </c>
      <c r="J32" s="29" t="s">
        <v>110</v>
      </c>
      <c r="K32" s="3"/>
      <c r="L32" s="4" t="s">
        <v>151</v>
      </c>
      <c r="M32" s="111" t="s">
        <v>152</v>
      </c>
      <c r="N32" s="1" t="s">
        <v>110</v>
      </c>
    </row>
    <row r="33" spans="1:14" ht="230.4">
      <c r="A33" s="11"/>
      <c r="B33" s="1" t="s">
        <v>76</v>
      </c>
      <c r="C33" s="15">
        <v>32</v>
      </c>
      <c r="D33" s="3" t="s">
        <v>49</v>
      </c>
      <c r="E33" s="3" t="s">
        <v>56</v>
      </c>
      <c r="F33" s="3" t="s">
        <v>16</v>
      </c>
      <c r="G33" s="3" t="s">
        <v>63</v>
      </c>
      <c r="H33" s="9" t="s">
        <v>18</v>
      </c>
      <c r="I33" s="3" t="s">
        <v>153</v>
      </c>
      <c r="J33" s="15" t="s">
        <v>59</v>
      </c>
      <c r="K33" s="3"/>
      <c r="L33" s="4" t="s">
        <v>154</v>
      </c>
      <c r="M33" s="106" t="s">
        <v>155</v>
      </c>
      <c r="N33" s="1" t="s">
        <v>156</v>
      </c>
    </row>
  </sheetData>
  <autoFilter ref="A1:M33" xr:uid="{DCB37448-7794-4D71-83D8-79D0F3D93892}">
    <filterColumn colId="2">
      <colorFilter dxfId="7"/>
    </filterColumn>
  </autoFilter>
  <hyperlinks>
    <hyperlink ref="L2" r:id="rId1" xr:uid="{1D959FDD-C6FF-4BE6-845B-32DD47E2EDA5}"/>
    <hyperlink ref="L3:L5" r:id="rId2" display="https://app.clickup.com/t/8499449/APP-250" xr:uid="{5249165E-738D-497E-9AB1-04FA20970020}"/>
    <hyperlink ref="L6" r:id="rId3" display="https://app.clickup.com/t/8499449/APP-250" xr:uid="{D66239BC-9690-42D9-BF84-339761FEED7E}"/>
    <hyperlink ref="L7:L12" r:id="rId4" display="https://app.clickup.com/t/8499449/APP-250" xr:uid="{A156C515-C7FE-4BD9-A8F4-4648E0DAD077}"/>
    <hyperlink ref="L16" r:id="rId5" display="https://app.clickup.com/t/8499449/APP-250" xr:uid="{45319A29-AF90-4FA3-83B6-33114B56B9BE}"/>
    <hyperlink ref="L8" r:id="rId6" display="https://app.clickup.com/t/8499449/APP-250" xr:uid="{0314BC8F-4317-4D4A-B86E-9319C50A7102}"/>
    <hyperlink ref="L10" r:id="rId7" display="https://app.clickup.com/t/8499449/APP-250" xr:uid="{80D524F9-FE4E-49D0-958F-F68E6B92FF92}"/>
    <hyperlink ref="L11" r:id="rId8" display="https://app.clickup.com/t/8499449/APP-250" xr:uid="{3340F9D0-000B-44FF-94FB-D43A016A7544}"/>
    <hyperlink ref="L14" r:id="rId9" display="https://app.clickup.com/t/8499449/APP-250" xr:uid="{97140B34-4C67-4D06-BE0E-952E1C158190}"/>
    <hyperlink ref="L15" r:id="rId10" display="https://app.clickup.com/t/8499449/APP-250" xr:uid="{48C144D6-74E1-47AD-8B39-74DE90CDF9F2}"/>
    <hyperlink ref="L17:L19" r:id="rId11" display="https://app.clickup.com/t/8499449/APP-250" xr:uid="{1C5E5BF9-ABF7-455D-B77A-3940D078B3C1}"/>
    <hyperlink ref="L20" r:id="rId12" display="https://app.clickup.com/t/8499449/APP-250" xr:uid="{B9885C9E-337D-40E1-BE49-08F0BD60B319}"/>
    <hyperlink ref="L21:L27" r:id="rId13" display="https://app.clickup.com/t/8499449/APP-250" xr:uid="{8179FA98-E5F6-4D38-8595-7944865F3478}"/>
    <hyperlink ref="L31" r:id="rId14" display="https://app.clickup.com/t/8499449/APP-250" xr:uid="{1A6E6CF4-4158-41C6-A347-D1434FEFE537}"/>
    <hyperlink ref="L23" r:id="rId15" display="https://app.clickup.com/t/8499449/APP-250" xr:uid="{305B1EF1-1DED-49B4-BA4B-14FCBEF5EB44}"/>
    <hyperlink ref="L25" r:id="rId16" display="https://app.clickup.com/t/8499449/APP-250" xr:uid="{BDA26645-11C7-4D59-89A2-3652F401956A}"/>
    <hyperlink ref="L26" r:id="rId17" display="https://app.clickup.com/t/8499449/APP-250" xr:uid="{CD548FE9-0EA3-48AE-AADD-F9B8EB032175}"/>
    <hyperlink ref="L28" r:id="rId18" display="https://app.clickup.com/t/8499449/APP-250" xr:uid="{BE148B23-05AE-4F1E-86D9-3373758EFFB7}"/>
    <hyperlink ref="L29" r:id="rId19" display="https://app.clickup.com/t/8499449/APP-250" xr:uid="{E78BBD12-A74C-4D25-9446-C8C90D7B9E22}"/>
    <hyperlink ref="L30" r:id="rId20" display="https://app.clickup.com/t/8499449/APP-250" xr:uid="{984FA16E-655B-4441-8BCE-638BE22C55BE}"/>
    <hyperlink ref="L32" r:id="rId21" display="https://app.clickup.com/t/8499449/APP-250" xr:uid="{2852A2C2-21F3-4A39-8380-6CA054635DEE}"/>
    <hyperlink ref="L33" r:id="rId22" display="https://app.clickup.com/t/8499449/APP-250" xr:uid="{42B7E74D-1A17-478F-A1B0-D7D0DF546A7D}"/>
    <hyperlink ref="L24" r:id="rId23" display="https://app.clickup.com/t/8499449/APP-250" xr:uid="{E83AAB1E-9D0A-42C4-8A62-93CD6EB2FD62}"/>
    <hyperlink ref="L13" r:id="rId24" display="https://app.clickup.com/t/8499449/APP-250" xr:uid="{C4615A13-ECB9-4524-A7B7-C5D8FD624384}"/>
    <hyperlink ref="L13" r:id="rId25" display="https://app.clickup.com/t/8499449/APP-250" xr:uid="{4F8D9966-F36D-4543-A467-4A927ECB1306}"/>
    <hyperlink ref="L9" r:id="rId26" display="https://app.clickup.com/t/8499449/APP-250" xr:uid="{E67F7438-35A1-4CDC-A171-B799AC9AF42F}"/>
    <hyperlink ref="L9" r:id="rId27" display="https://app.clickup.com/t/8499449/APP-250" xr:uid="{84B71F14-1F4F-4C90-A126-673FF37A79F8}"/>
    <hyperlink ref="L22" r:id="rId28" display="https://app.clickup.com/t/8499449/APP-250" xr:uid="{0474C21C-D335-498F-ABE7-CC676234180A}"/>
    <hyperlink ref="M33" r:id="rId29" xr:uid="{28D8DBA5-9D60-476F-999A-C8FF85709612}"/>
    <hyperlink ref="K30" r:id="rId30" xr:uid="{8FC95E6C-65FF-4F82-840F-75ECEA08E63A}"/>
    <hyperlink ref="M28" r:id="rId31" xr:uid="{C5FD794A-400E-4FFF-8485-E344E3D224CF}"/>
    <hyperlink ref="M26" r:id="rId32" xr:uid="{882B0415-0E46-40D3-886F-8E801BA99CD3}"/>
    <hyperlink ref="M24" r:id="rId33" xr:uid="{EA2374E1-DF55-49F5-87FF-F0B5724B1DB0}"/>
    <hyperlink ref="M22" r:id="rId34" xr:uid="{2AE2B6A6-B85D-4AFB-BE0B-F5E915C3528B}"/>
    <hyperlink ref="M15" r:id="rId35" xr:uid="{E36266D6-8A21-444F-B5F9-113A5E79E182}"/>
    <hyperlink ref="M13" r:id="rId36" xr:uid="{35171E18-9A68-476B-ABE1-F4B7405D44F2}"/>
    <hyperlink ref="M11" r:id="rId37" xr:uid="{F39A23E0-B2C9-4922-B25D-0E08567429C3}"/>
    <hyperlink ref="M9" r:id="rId38" xr:uid="{7EC57A79-00C2-46D4-B87F-0890D83AA317}"/>
    <hyperlink ref="M7" r:id="rId39" xr:uid="{8E95CB46-72E7-4AEE-B787-D6B54AF95547}"/>
    <hyperlink ref="M2" r:id="rId40" xr:uid="{7BD0FA47-F1AB-45BE-9F48-41DC1BCE2F72}"/>
    <hyperlink ref="M8" r:id="rId41" xr:uid="{D59C5F04-78C8-42E4-ABDD-9095B9E4C952}"/>
    <hyperlink ref="M10" r:id="rId42" xr:uid="{A88C1C9C-96E0-4E9C-A021-D260229A16DD}"/>
    <hyperlink ref="M12" r:id="rId43" xr:uid="{FA1C3B6A-616E-4665-ADCC-1C7615B7DBC6}"/>
    <hyperlink ref="M14" r:id="rId44" xr:uid="{6D9BA8C2-C1F9-4AF4-96C4-1F26C3AC1A7A}"/>
    <hyperlink ref="M23" r:id="rId45" xr:uid="{0BE6F43C-FF09-4728-887D-53192D36ED38}"/>
    <hyperlink ref="M25" r:id="rId46" xr:uid="{11D70671-B03F-4318-BE4E-6C19BC78B1E8}"/>
    <hyperlink ref="M27" r:id="rId47" xr:uid="{131C0408-9BA8-430F-B49D-FB6983D24B36}"/>
    <hyperlink ref="M29" r:id="rId48" xr:uid="{D495028D-9F53-4F74-8371-79F6F264AE72}"/>
    <hyperlink ref="M32" r:id="rId49" xr:uid="{B9649BB4-39A2-49C6-B3F5-3A98BDF4393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B9472-2E2F-4C8E-8379-6B5FA0E476A2}">
  <sheetPr filterMode="1"/>
  <dimension ref="A1:N33"/>
  <sheetViews>
    <sheetView workbookViewId="0">
      <pane ySplit="1" topLeftCell="A30" activePane="bottomLeft" state="frozen"/>
      <selection pane="bottomLeft" activeCell="M30" sqref="M30"/>
    </sheetView>
  </sheetViews>
  <sheetFormatPr baseColWidth="10" defaultColWidth="11.44140625" defaultRowHeight="14.4"/>
  <cols>
    <col min="1" max="1" width="0" style="1" hidden="1" customWidth="1"/>
    <col min="2" max="3" width="9.109375" style="1" bestFit="1" customWidth="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6.33203125" style="1" customWidth="1"/>
    <col min="14" max="14" width="21.44140625" style="1" customWidth="1"/>
    <col min="15" max="16384" width="11.44140625" style="1"/>
  </cols>
  <sheetData>
    <row r="1" spans="1:14" ht="28.8">
      <c r="B1" s="1" t="s">
        <v>51</v>
      </c>
      <c r="C1" s="108" t="s">
        <v>0</v>
      </c>
      <c r="D1" s="30" t="s">
        <v>1</v>
      </c>
      <c r="E1" s="30" t="s">
        <v>2</v>
      </c>
      <c r="F1" s="30" t="s">
        <v>3</v>
      </c>
      <c r="G1" s="30" t="s">
        <v>4</v>
      </c>
      <c r="H1" s="109" t="s">
        <v>5</v>
      </c>
      <c r="I1" s="30" t="s">
        <v>52</v>
      </c>
      <c r="J1" s="30" t="s">
        <v>6</v>
      </c>
      <c r="K1" s="30" t="s">
        <v>7</v>
      </c>
      <c r="L1" s="30" t="s">
        <v>8</v>
      </c>
      <c r="M1" s="30" t="s">
        <v>53</v>
      </c>
      <c r="N1" s="30" t="s">
        <v>9</v>
      </c>
    </row>
    <row r="2" spans="1:14" ht="144">
      <c r="A2" s="1" t="s">
        <v>54</v>
      </c>
      <c r="B2" s="1" t="s">
        <v>130</v>
      </c>
      <c r="C2" s="15">
        <v>1</v>
      </c>
      <c r="D2" s="3" t="s">
        <v>10</v>
      </c>
      <c r="E2" s="3" t="s">
        <v>56</v>
      </c>
      <c r="F2" s="3" t="s">
        <v>12</v>
      </c>
      <c r="G2" s="3" t="s">
        <v>57</v>
      </c>
      <c r="H2" s="100" t="s">
        <v>14</v>
      </c>
      <c r="I2" s="3" t="s">
        <v>58</v>
      </c>
      <c r="J2" s="15" t="s">
        <v>59</v>
      </c>
      <c r="K2" s="3"/>
      <c r="L2" s="4" t="s">
        <v>60</v>
      </c>
      <c r="M2" s="106"/>
      <c r="N2" s="1" t="s">
        <v>62</v>
      </c>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44.8">
      <c r="A7" s="1" t="s">
        <v>54</v>
      </c>
      <c r="B7" s="1" t="s">
        <v>130</v>
      </c>
      <c r="C7" s="15">
        <v>6</v>
      </c>
      <c r="D7" s="7" t="s">
        <v>77</v>
      </c>
      <c r="E7" s="3" t="s">
        <v>56</v>
      </c>
      <c r="F7" s="3" t="s">
        <v>16</v>
      </c>
      <c r="G7" s="3" t="s">
        <v>78</v>
      </c>
      <c r="H7" s="100" t="s">
        <v>23</v>
      </c>
      <c r="I7" s="3" t="s">
        <v>157</v>
      </c>
      <c r="J7" s="29" t="s">
        <v>80</v>
      </c>
      <c r="K7" s="3" t="s">
        <v>81</v>
      </c>
      <c r="L7" s="4" t="s">
        <v>82</v>
      </c>
      <c r="M7" s="27" t="s">
        <v>158</v>
      </c>
      <c r="N7" s="1" t="s">
        <v>159</v>
      </c>
    </row>
    <row r="8" spans="1:14" ht="316.8">
      <c r="A8" s="11" t="s">
        <v>54</v>
      </c>
      <c r="B8" s="1" t="s">
        <v>130</v>
      </c>
      <c r="C8" s="15">
        <v>7</v>
      </c>
      <c r="D8" s="7" t="s">
        <v>85</v>
      </c>
      <c r="E8" s="3" t="s">
        <v>56</v>
      </c>
      <c r="F8" s="3" t="s">
        <v>16</v>
      </c>
      <c r="G8" s="3" t="s">
        <v>86</v>
      </c>
      <c r="H8" s="100" t="s">
        <v>87</v>
      </c>
      <c r="I8" s="3" t="s">
        <v>88</v>
      </c>
      <c r="J8" s="15" t="s">
        <v>59</v>
      </c>
      <c r="K8" s="3" t="s">
        <v>81</v>
      </c>
      <c r="L8" s="99" t="s">
        <v>89</v>
      </c>
      <c r="M8" s="27"/>
      <c r="N8" s="110"/>
    </row>
    <row r="9" spans="1:14" ht="316.8">
      <c r="A9" s="1" t="s">
        <v>54</v>
      </c>
      <c r="B9" s="1" t="s">
        <v>130</v>
      </c>
      <c r="C9" s="15">
        <v>8</v>
      </c>
      <c r="D9" s="7" t="s">
        <v>92</v>
      </c>
      <c r="E9" s="3" t="s">
        <v>56</v>
      </c>
      <c r="F9" s="3" t="s">
        <v>16</v>
      </c>
      <c r="G9" s="3" t="s">
        <v>86</v>
      </c>
      <c r="H9" s="100" t="s">
        <v>87</v>
      </c>
      <c r="I9" s="3" t="s">
        <v>160</v>
      </c>
      <c r="J9" s="15" t="s">
        <v>59</v>
      </c>
      <c r="K9" s="3" t="s">
        <v>81</v>
      </c>
      <c r="L9" s="4" t="s">
        <v>89</v>
      </c>
      <c r="M9" s="106"/>
    </row>
    <row r="10" spans="1:14" ht="316.8">
      <c r="A10" s="11" t="s">
        <v>54</v>
      </c>
      <c r="B10" s="1" t="s">
        <v>130</v>
      </c>
      <c r="C10" s="15">
        <v>9</v>
      </c>
      <c r="D10" s="7" t="s">
        <v>96</v>
      </c>
      <c r="E10" s="3" t="s">
        <v>56</v>
      </c>
      <c r="F10" s="3" t="s">
        <v>16</v>
      </c>
      <c r="G10" s="3" t="s">
        <v>86</v>
      </c>
      <c r="H10" s="100" t="s">
        <v>87</v>
      </c>
      <c r="I10" s="3" t="s">
        <v>88</v>
      </c>
      <c r="J10" s="15" t="s">
        <v>59</v>
      </c>
      <c r="K10" s="3"/>
      <c r="L10" s="4" t="s">
        <v>89</v>
      </c>
      <c r="M10" s="27"/>
      <c r="N10" s="110" t="s">
        <v>91</v>
      </c>
    </row>
    <row r="11" spans="1:14" ht="316.8">
      <c r="A11" s="1" t="s">
        <v>54</v>
      </c>
      <c r="B11" s="1" t="s">
        <v>130</v>
      </c>
      <c r="C11" s="15">
        <v>10</v>
      </c>
      <c r="D11" s="7" t="s">
        <v>98</v>
      </c>
      <c r="E11" s="3" t="s">
        <v>56</v>
      </c>
      <c r="F11" s="3" t="s">
        <v>16</v>
      </c>
      <c r="G11" s="3" t="s">
        <v>86</v>
      </c>
      <c r="H11" s="9" t="s">
        <v>87</v>
      </c>
      <c r="I11" s="3" t="s">
        <v>99</v>
      </c>
      <c r="J11" s="15" t="s">
        <v>59</v>
      </c>
      <c r="K11" s="3"/>
      <c r="L11" s="4" t="s">
        <v>89</v>
      </c>
      <c r="M11" s="106" t="s">
        <v>94</v>
      </c>
      <c r="N11" s="1" t="s">
        <v>30</v>
      </c>
    </row>
    <row r="12" spans="1:14" ht="374.4">
      <c r="A12" s="11" t="s">
        <v>100</v>
      </c>
      <c r="B12" s="1" t="s">
        <v>130</v>
      </c>
      <c r="C12" s="15">
        <v>11</v>
      </c>
      <c r="D12" s="7" t="s">
        <v>101</v>
      </c>
      <c r="E12" s="3" t="s">
        <v>56</v>
      </c>
      <c r="F12" s="3" t="s">
        <v>16</v>
      </c>
      <c r="G12" s="3" t="s">
        <v>86</v>
      </c>
      <c r="H12" s="9" t="s">
        <v>102</v>
      </c>
      <c r="I12" s="3" t="s">
        <v>103</v>
      </c>
      <c r="J12" s="15" t="s">
        <v>59</v>
      </c>
      <c r="K12" s="27"/>
      <c r="L12" s="4" t="s">
        <v>89</v>
      </c>
      <c r="M12" s="106"/>
      <c r="N12" s="1" t="s">
        <v>105</v>
      </c>
    </row>
    <row r="13" spans="1:14" ht="374.4">
      <c r="A13" s="11" t="s">
        <v>54</v>
      </c>
      <c r="B13" s="1" t="s">
        <v>130</v>
      </c>
      <c r="C13" s="15">
        <v>12</v>
      </c>
      <c r="D13" s="7" t="s">
        <v>106</v>
      </c>
      <c r="E13" s="3" t="s">
        <v>56</v>
      </c>
      <c r="F13" s="3" t="s">
        <v>16</v>
      </c>
      <c r="G13" s="3" t="s">
        <v>107</v>
      </c>
      <c r="H13" s="9" t="s">
        <v>102</v>
      </c>
      <c r="I13" s="3" t="s">
        <v>161</v>
      </c>
      <c r="J13" s="29" t="s">
        <v>162</v>
      </c>
      <c r="K13" s="3" t="s">
        <v>81</v>
      </c>
      <c r="L13" s="4" t="s">
        <v>89</v>
      </c>
      <c r="M13" s="27" t="s">
        <v>163</v>
      </c>
      <c r="N13" s="1" t="s">
        <v>95</v>
      </c>
    </row>
    <row r="14" spans="1:14" ht="374.4">
      <c r="A14" s="1" t="s">
        <v>54</v>
      </c>
      <c r="B14" s="1" t="s">
        <v>130</v>
      </c>
      <c r="C14" s="15">
        <v>13</v>
      </c>
      <c r="D14" s="7" t="s">
        <v>108</v>
      </c>
      <c r="E14" s="3" t="s">
        <v>56</v>
      </c>
      <c r="F14" s="3" t="s">
        <v>16</v>
      </c>
      <c r="G14" s="3" t="s">
        <v>107</v>
      </c>
      <c r="H14" s="9" t="s">
        <v>102</v>
      </c>
      <c r="I14" s="3" t="s">
        <v>160</v>
      </c>
      <c r="J14" s="15" t="s">
        <v>59</v>
      </c>
      <c r="K14" s="3"/>
      <c r="L14" s="4" t="s">
        <v>89</v>
      </c>
      <c r="M14" s="27"/>
      <c r="N14" s="1" t="s">
        <v>30</v>
      </c>
    </row>
    <row r="15" spans="1:14" ht="374.4">
      <c r="A15" s="1" t="s">
        <v>100</v>
      </c>
      <c r="B15" s="1" t="s">
        <v>130</v>
      </c>
      <c r="C15" s="15">
        <v>14</v>
      </c>
      <c r="D15" s="7" t="s">
        <v>113</v>
      </c>
      <c r="E15" s="3" t="s">
        <v>56</v>
      </c>
      <c r="F15" s="3" t="s">
        <v>16</v>
      </c>
      <c r="G15" s="3" t="s">
        <v>107</v>
      </c>
      <c r="H15" s="9" t="s">
        <v>102</v>
      </c>
      <c r="I15" s="3" t="s">
        <v>99</v>
      </c>
      <c r="J15" s="15" t="s">
        <v>59</v>
      </c>
      <c r="K15" s="18"/>
      <c r="L15" s="4" t="s">
        <v>89</v>
      </c>
      <c r="M15" s="106" t="s">
        <v>114</v>
      </c>
      <c r="N15" s="1" t="s">
        <v>30</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c r="A21" s="1" t="s">
        <v>100</v>
      </c>
      <c r="B21" s="1" t="s">
        <v>130</v>
      </c>
      <c r="C21" s="15">
        <v>20</v>
      </c>
      <c r="D21" s="10" t="s">
        <v>120</v>
      </c>
      <c r="E21" s="3" t="s">
        <v>56</v>
      </c>
      <c r="F21" s="3" t="s">
        <v>16</v>
      </c>
      <c r="G21" s="3" t="s">
        <v>78</v>
      </c>
      <c r="H21" s="9" t="s">
        <v>23</v>
      </c>
      <c r="I21" s="3" t="s">
        <v>121</v>
      </c>
      <c r="J21" s="15" t="s">
        <v>59</v>
      </c>
      <c r="K21" s="24"/>
      <c r="L21" s="4" t="s">
        <v>82</v>
      </c>
      <c r="M21" s="27"/>
      <c r="N21" s="1" t="s">
        <v>122</v>
      </c>
    </row>
    <row r="22" spans="1:14" ht="201.6">
      <c r="B22" s="1" t="s">
        <v>55</v>
      </c>
      <c r="C22" s="15">
        <v>21</v>
      </c>
      <c r="D22" s="10" t="s">
        <v>120</v>
      </c>
      <c r="E22" s="3" t="s">
        <v>56</v>
      </c>
      <c r="F22" s="3" t="s">
        <v>16</v>
      </c>
      <c r="G22" s="3" t="s">
        <v>78</v>
      </c>
      <c r="H22" s="9" t="s">
        <v>23</v>
      </c>
      <c r="I22" s="3" t="s">
        <v>164</v>
      </c>
      <c r="J22" s="29" t="s">
        <v>165</v>
      </c>
      <c r="K22" s="3" t="s">
        <v>81</v>
      </c>
      <c r="L22" s="4" t="s">
        <v>82</v>
      </c>
      <c r="M22" s="106" t="s">
        <v>166</v>
      </c>
      <c r="N22" s="1" t="s">
        <v>167</v>
      </c>
    </row>
    <row r="23" spans="1:14" ht="316.8">
      <c r="B23" s="1" t="s">
        <v>55</v>
      </c>
      <c r="C23" s="15">
        <v>22</v>
      </c>
      <c r="D23" s="10" t="s">
        <v>124</v>
      </c>
      <c r="E23" s="3" t="s">
        <v>56</v>
      </c>
      <c r="F23" s="3" t="s">
        <v>16</v>
      </c>
      <c r="G23" s="3" t="s">
        <v>86</v>
      </c>
      <c r="H23" s="9" t="s">
        <v>87</v>
      </c>
      <c r="I23" s="3" t="s">
        <v>125</v>
      </c>
      <c r="J23" s="15" t="s">
        <v>59</v>
      </c>
      <c r="K23" s="3"/>
      <c r="L23" s="4" t="s">
        <v>89</v>
      </c>
      <c r="M23" s="106"/>
    </row>
    <row r="24" spans="1:14" ht="316.8">
      <c r="A24" s="11"/>
      <c r="B24" s="1" t="s">
        <v>55</v>
      </c>
      <c r="C24" s="15">
        <v>23</v>
      </c>
      <c r="D24" s="10" t="s">
        <v>128</v>
      </c>
      <c r="E24" s="3" t="s">
        <v>56</v>
      </c>
      <c r="F24" s="3" t="s">
        <v>16</v>
      </c>
      <c r="G24" s="3" t="s">
        <v>86</v>
      </c>
      <c r="H24" s="9" t="s">
        <v>87</v>
      </c>
      <c r="I24" s="3" t="s">
        <v>168</v>
      </c>
      <c r="J24" s="15" t="s">
        <v>59</v>
      </c>
      <c r="K24" s="3"/>
      <c r="L24" s="4" t="s">
        <v>89</v>
      </c>
      <c r="M24" s="106" t="s">
        <v>169</v>
      </c>
      <c r="N24" s="1" t="s">
        <v>95</v>
      </c>
    </row>
    <row r="25" spans="1:14" ht="316.8">
      <c r="A25" s="11" t="s">
        <v>130</v>
      </c>
      <c r="B25" s="1" t="s">
        <v>55</v>
      </c>
      <c r="C25" s="15">
        <v>24</v>
      </c>
      <c r="D25" s="10" t="s">
        <v>131</v>
      </c>
      <c r="E25" s="3" t="s">
        <v>56</v>
      </c>
      <c r="F25" s="3" t="s">
        <v>16</v>
      </c>
      <c r="G25" s="3" t="s">
        <v>86</v>
      </c>
      <c r="H25" s="9" t="s">
        <v>87</v>
      </c>
      <c r="I25" s="3" t="s">
        <v>132</v>
      </c>
      <c r="J25" s="15" t="s">
        <v>59</v>
      </c>
      <c r="K25" s="18"/>
      <c r="L25" s="4" t="s">
        <v>89</v>
      </c>
      <c r="M25" s="111" t="s">
        <v>170</v>
      </c>
    </row>
    <row r="26" spans="1:14" ht="316.8">
      <c r="B26" s="1" t="s">
        <v>55</v>
      </c>
      <c r="C26" s="15">
        <v>25</v>
      </c>
      <c r="D26" s="10" t="s">
        <v>135</v>
      </c>
      <c r="E26" s="3" t="s">
        <v>56</v>
      </c>
      <c r="F26" s="3" t="s">
        <v>16</v>
      </c>
      <c r="G26" s="3" t="s">
        <v>86</v>
      </c>
      <c r="H26" s="9" t="s">
        <v>87</v>
      </c>
      <c r="I26" s="3" t="s">
        <v>136</v>
      </c>
      <c r="J26" s="15" t="s">
        <v>59</v>
      </c>
      <c r="K26" s="3"/>
      <c r="L26" s="4" t="s">
        <v>89</v>
      </c>
      <c r="M26" s="106" t="s">
        <v>171</v>
      </c>
      <c r="N26" s="1" t="s">
        <v>30</v>
      </c>
    </row>
    <row r="27" spans="1:14" ht="374.4">
      <c r="B27" s="1" t="s">
        <v>55</v>
      </c>
      <c r="C27" s="15">
        <v>26</v>
      </c>
      <c r="D27" s="10" t="s">
        <v>138</v>
      </c>
      <c r="E27" s="3" t="s">
        <v>56</v>
      </c>
      <c r="F27" s="3" t="s">
        <v>16</v>
      </c>
      <c r="G27" s="3" t="s">
        <v>86</v>
      </c>
      <c r="H27" s="9" t="s">
        <v>102</v>
      </c>
      <c r="I27" s="3" t="s">
        <v>139</v>
      </c>
      <c r="J27" s="15" t="s">
        <v>59</v>
      </c>
      <c r="K27" s="3"/>
      <c r="L27" s="4" t="s">
        <v>89</v>
      </c>
      <c r="M27" s="106" t="s">
        <v>172</v>
      </c>
    </row>
    <row r="28" spans="1:14" ht="374.4">
      <c r="B28" s="1" t="s">
        <v>55</v>
      </c>
      <c r="C28" s="15">
        <v>27</v>
      </c>
      <c r="D28" s="10" t="s">
        <v>141</v>
      </c>
      <c r="E28" s="3" t="s">
        <v>56</v>
      </c>
      <c r="F28" s="3" t="s">
        <v>173</v>
      </c>
      <c r="G28" s="3" t="s">
        <v>107</v>
      </c>
      <c r="H28" s="9" t="s">
        <v>102</v>
      </c>
      <c r="I28" s="3" t="s">
        <v>174</v>
      </c>
      <c r="J28" s="15" t="s">
        <v>59</v>
      </c>
      <c r="K28" s="3"/>
      <c r="L28" s="4" t="s">
        <v>89</v>
      </c>
      <c r="M28" s="106" t="s">
        <v>175</v>
      </c>
      <c r="N28" s="1" t="s">
        <v>160</v>
      </c>
    </row>
    <row r="29" spans="1:14" ht="374.4">
      <c r="A29" s="11"/>
      <c r="B29" s="1" t="s">
        <v>55</v>
      </c>
      <c r="C29" s="15">
        <v>28</v>
      </c>
      <c r="D29" s="10" t="s">
        <v>142</v>
      </c>
      <c r="E29" s="3" t="s">
        <v>56</v>
      </c>
      <c r="F29" s="3" t="s">
        <v>16</v>
      </c>
      <c r="G29" s="3" t="s">
        <v>107</v>
      </c>
      <c r="H29" s="9" t="s">
        <v>102</v>
      </c>
      <c r="I29" s="3" t="s">
        <v>143</v>
      </c>
      <c r="J29" s="15" t="s">
        <v>59</v>
      </c>
      <c r="K29" s="3"/>
      <c r="L29" s="4" t="s">
        <v>89</v>
      </c>
      <c r="M29" s="106" t="s">
        <v>176</v>
      </c>
    </row>
    <row r="30" spans="1:14" ht="374.4">
      <c r="A30" s="11"/>
      <c r="B30" s="1" t="s">
        <v>55</v>
      </c>
      <c r="C30" s="15">
        <v>29</v>
      </c>
      <c r="D30" s="10" t="s">
        <v>146</v>
      </c>
      <c r="E30" s="3" t="s">
        <v>56</v>
      </c>
      <c r="F30" s="3" t="s">
        <v>16</v>
      </c>
      <c r="G30" s="3" t="s">
        <v>107</v>
      </c>
      <c r="H30" s="9" t="s">
        <v>102</v>
      </c>
      <c r="I30" s="3" t="s">
        <v>147</v>
      </c>
      <c r="J30" s="15" t="s">
        <v>59</v>
      </c>
      <c r="K30" s="106"/>
      <c r="L30" s="4" t="s">
        <v>89</v>
      </c>
      <c r="M30" s="106" t="s">
        <v>177</v>
      </c>
      <c r="N30" s="1" t="s">
        <v>30</v>
      </c>
    </row>
    <row r="31" spans="1:14" ht="230.4" hidden="1">
      <c r="B31" s="94"/>
      <c r="C31" s="97">
        <v>30</v>
      </c>
      <c r="D31" s="12" t="s">
        <v>46</v>
      </c>
      <c r="E31" s="13" t="s">
        <v>56</v>
      </c>
      <c r="F31" s="13" t="s">
        <v>16</v>
      </c>
      <c r="G31" s="13" t="s">
        <v>63</v>
      </c>
      <c r="H31" s="9" t="s">
        <v>18</v>
      </c>
      <c r="I31" s="3"/>
      <c r="J31" s="3"/>
      <c r="K31" s="3"/>
      <c r="L31" s="4" t="s">
        <v>64</v>
      </c>
      <c r="M31" s="3"/>
    </row>
    <row r="32" spans="1:14" ht="230.4">
      <c r="A32" s="11"/>
      <c r="B32" s="1" t="s">
        <v>55</v>
      </c>
      <c r="C32" s="15">
        <v>31</v>
      </c>
      <c r="D32" s="3" t="s">
        <v>47</v>
      </c>
      <c r="E32" s="3" t="s">
        <v>56</v>
      </c>
      <c r="F32" s="3" t="s">
        <v>16</v>
      </c>
      <c r="G32" s="3" t="s">
        <v>149</v>
      </c>
      <c r="H32" s="9" t="s">
        <v>18</v>
      </c>
      <c r="I32" s="3" t="s">
        <v>178</v>
      </c>
      <c r="J32" s="93" t="s">
        <v>165</v>
      </c>
      <c r="K32" s="3" t="s">
        <v>179</v>
      </c>
      <c r="L32" s="4" t="s">
        <v>151</v>
      </c>
      <c r="M32" s="4" t="s">
        <v>180</v>
      </c>
      <c r="N32" s="1" t="s">
        <v>110</v>
      </c>
    </row>
    <row r="33" spans="1:13" ht="230.4">
      <c r="A33" s="11"/>
      <c r="B33" s="1" t="s">
        <v>55</v>
      </c>
      <c r="C33" s="15">
        <v>32</v>
      </c>
      <c r="D33" s="3" t="s">
        <v>49</v>
      </c>
      <c r="E33" s="3" t="s">
        <v>56</v>
      </c>
      <c r="F33" s="3" t="s">
        <v>16</v>
      </c>
      <c r="G33" s="3" t="s">
        <v>63</v>
      </c>
      <c r="H33" s="9" t="s">
        <v>18</v>
      </c>
      <c r="I33" s="3" t="s">
        <v>181</v>
      </c>
      <c r="J33" s="93" t="s">
        <v>165</v>
      </c>
      <c r="K33" s="3" t="s">
        <v>179</v>
      </c>
      <c r="L33" s="4" t="s">
        <v>154</v>
      </c>
      <c r="M33" s="99" t="s">
        <v>182</v>
      </c>
    </row>
  </sheetData>
  <autoFilter ref="A1:M33" xr:uid="{DCB37448-7794-4D71-83D8-79D0F3D93892}">
    <filterColumn colId="2">
      <colorFilter dxfId="6"/>
    </filterColumn>
  </autoFilter>
  <hyperlinks>
    <hyperlink ref="L2" r:id="rId1" xr:uid="{0B90D959-2DE5-462C-B470-7BE2A27C1FF5}"/>
    <hyperlink ref="L3:L5" r:id="rId2" display="https://app.clickup.com/t/8499449/APP-250" xr:uid="{56E7C4B6-787D-46CD-9D92-1254EBC8991D}"/>
    <hyperlink ref="L6" r:id="rId3" display="https://app.clickup.com/t/8499449/APP-250" xr:uid="{DCB22C79-31E2-4414-B686-B795D85BD727}"/>
    <hyperlink ref="L7:L12" r:id="rId4" display="https://app.clickup.com/t/8499449/APP-250" xr:uid="{DA0D8B36-7944-4C0E-B7E8-8DBB58729AB4}"/>
    <hyperlink ref="L16" r:id="rId5" display="https://app.clickup.com/t/8499449/APP-250" xr:uid="{E8A9F36E-E92F-4C0E-BC85-90A70E93C31E}"/>
    <hyperlink ref="L8" r:id="rId6" display="https://app.clickup.com/t/8499449/APP-250" xr:uid="{81C4B3D3-BD46-40B1-89AA-BA153E7FC80D}"/>
    <hyperlink ref="L10" r:id="rId7" display="https://app.clickup.com/t/8499449/APP-250" xr:uid="{6D6D6B20-AD55-4036-9AF0-BE0E865A67F6}"/>
    <hyperlink ref="L11" r:id="rId8" display="https://app.clickup.com/t/8499449/APP-250" xr:uid="{2A4F8211-0D64-440F-AE71-A076BA34BB5F}"/>
    <hyperlink ref="L14" r:id="rId9" display="https://app.clickup.com/t/8499449/APP-250" xr:uid="{53A4D24B-EAC5-4804-A198-3FC9DD7B99BA}"/>
    <hyperlink ref="L15" r:id="rId10" display="https://app.clickup.com/t/8499449/APP-250" xr:uid="{AD3D8161-DE6E-4DF2-A570-19A4ADB63EDC}"/>
    <hyperlink ref="L17:L19" r:id="rId11" display="https://app.clickup.com/t/8499449/APP-250" xr:uid="{EE2D05A3-1547-43B3-8375-3E5AAA92B07D}"/>
    <hyperlink ref="L20" r:id="rId12" display="https://app.clickup.com/t/8499449/APP-250" xr:uid="{1764C3C3-913A-4E85-B194-0CEAE0E55CDA}"/>
    <hyperlink ref="L21:L27" r:id="rId13" display="https://app.clickup.com/t/8499449/APP-250" xr:uid="{A1C3CBE6-3429-4C69-8D50-CE0A3305913D}"/>
    <hyperlink ref="L31" r:id="rId14" display="https://app.clickup.com/t/8499449/APP-250" xr:uid="{956A87AA-EB97-4448-83AE-8E2A5D4FDD3D}"/>
    <hyperlink ref="L23" r:id="rId15" display="https://app.clickup.com/t/8499449/APP-250" xr:uid="{77364292-CFAD-48A3-9A34-6000DEE6BED9}"/>
    <hyperlink ref="L25" r:id="rId16" display="https://app.clickup.com/t/8499449/APP-250" xr:uid="{75B4E944-2441-47CA-8AC9-2BBA4B666194}"/>
    <hyperlink ref="L26" r:id="rId17" display="https://app.clickup.com/t/8499449/APP-250" xr:uid="{4A40E984-04FE-4EA9-BC6B-B25713C68D4E}"/>
    <hyperlink ref="L28" r:id="rId18" display="https://app.clickup.com/t/8499449/APP-250" xr:uid="{D0C3764F-FD22-4FAB-86E1-53ADFBFC007A}"/>
    <hyperlink ref="L29" r:id="rId19" display="https://app.clickup.com/t/8499449/APP-250" xr:uid="{77EED428-105B-40D8-8D71-0DD5B998C460}"/>
    <hyperlink ref="L30" r:id="rId20" display="https://app.clickup.com/t/8499449/APP-250" xr:uid="{298E6CA0-C393-46E7-818A-C5C1FADE8ECA}"/>
    <hyperlink ref="L32" r:id="rId21" display="https://app.clickup.com/t/8499449/APP-250" xr:uid="{A89B5FD7-3704-45C8-BD7A-52F10A0684BE}"/>
    <hyperlink ref="L33" r:id="rId22" display="https://app.clickup.com/t/8499449/APP-250" xr:uid="{39FCA6D9-5739-4AFB-A2BB-F334FECD2F72}"/>
    <hyperlink ref="L24" r:id="rId23" display="https://app.clickup.com/t/8499449/APP-250" xr:uid="{7D100B33-0DD6-440E-B663-1B6A0E600CA5}"/>
    <hyperlink ref="L13" r:id="rId24" display="https://app.clickup.com/t/8499449/APP-250" xr:uid="{29D57FC0-7A86-4AE5-8443-D981B855AA8B}"/>
    <hyperlink ref="L13" r:id="rId25" display="https://app.clickup.com/t/8499449/APP-250" xr:uid="{0DD40781-ABF2-4247-8BBD-E17BE1D66AC2}"/>
    <hyperlink ref="L9" r:id="rId26" display="https://app.clickup.com/t/8499449/APP-250" xr:uid="{05C0E74F-9576-4F30-8111-B491490F0CB6}"/>
    <hyperlink ref="L9" r:id="rId27" display="https://app.clickup.com/t/8499449/APP-250" xr:uid="{D0CC3B14-30C2-4109-ADCD-E4E2F0F153D7}"/>
    <hyperlink ref="L22" r:id="rId28" display="https://app.clickup.com/t/8499449/APP-250" xr:uid="{CF105F04-A1AA-49E3-8F88-40634E3DB522}"/>
    <hyperlink ref="M15" r:id="rId29" xr:uid="{132C0189-50D9-4369-9FF8-DCB6CBDA8A34}"/>
    <hyperlink ref="M11" r:id="rId30" xr:uid="{8200AEE0-3EB8-4AF2-A39C-B113ADD3C89F}"/>
    <hyperlink ref="M7" r:id="rId31" xr:uid="{36696C2C-C76A-43D9-AE69-9DD5270E4660}"/>
    <hyperlink ref="M13" r:id="rId32" xr:uid="{5293F594-2038-4A6D-949D-6ED72E92B3DC}"/>
    <hyperlink ref="M32" r:id="rId33" xr:uid="{5A222C3A-0020-4DE3-B801-71B876B4800E}"/>
    <hyperlink ref="M33" r:id="rId34" xr:uid="{5B481A7D-B29F-45A9-BB0A-AABC1F28FAAC}"/>
    <hyperlink ref="M25" r:id="rId35" xr:uid="{3DC1B17C-2228-4B66-9321-6E0E395825FA}"/>
    <hyperlink ref="M27" r:id="rId36" xr:uid="{F4E7C416-EF39-4765-833F-B8AD8496FE8D}"/>
    <hyperlink ref="M29" r:id="rId37" xr:uid="{E72B27F4-80CF-49D7-BB45-83015D445711}"/>
    <hyperlink ref="M22" r:id="rId38" xr:uid="{B8B0AE43-F002-424B-ACAB-2387EA44E6BC}"/>
    <hyperlink ref="M24" r:id="rId39" xr:uid="{1E0AB292-2D4B-4ABE-B04F-64FB1E35665B}"/>
    <hyperlink ref="M26" r:id="rId40" xr:uid="{ECBFC20A-EE59-4F00-B413-A222D9DBC573}"/>
    <hyperlink ref="M28" r:id="rId41" xr:uid="{4621DB61-2A71-47D8-97C3-35CAF08F4F31}"/>
    <hyperlink ref="M30" r:id="rId42" xr:uid="{2E929F7D-FB6C-4F98-A024-48C06BCBFE7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B9C14-3C91-42A1-B5CD-64E20BDBD4B5}">
  <sheetPr filterMode="1"/>
  <dimension ref="A1:N33"/>
  <sheetViews>
    <sheetView workbookViewId="0">
      <pane ySplit="1" topLeftCell="A7" activePane="bottomLeft" state="frozen"/>
      <selection pane="bottomLeft" activeCell="E1" sqref="E1"/>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hidden="1">
      <c r="A2" s="1" t="s">
        <v>54</v>
      </c>
      <c r="B2" s="1" t="s">
        <v>130</v>
      </c>
      <c r="C2" s="15">
        <v>1</v>
      </c>
      <c r="D2" s="3" t="s">
        <v>10</v>
      </c>
      <c r="E2" s="3" t="s">
        <v>56</v>
      </c>
      <c r="F2" s="3" t="s">
        <v>12</v>
      </c>
      <c r="G2" s="3" t="s">
        <v>57</v>
      </c>
      <c r="H2" s="100" t="s">
        <v>14</v>
      </c>
      <c r="I2" s="3"/>
      <c r="J2" s="3" t="s">
        <v>59</v>
      </c>
      <c r="K2" s="3"/>
      <c r="L2" s="4" t="s">
        <v>60</v>
      </c>
      <c r="M2" s="106"/>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01.6">
      <c r="A7" s="1" t="s">
        <v>54</v>
      </c>
      <c r="B7" s="1" t="s">
        <v>183</v>
      </c>
      <c r="C7" s="15">
        <v>6</v>
      </c>
      <c r="D7" s="7" t="s">
        <v>77</v>
      </c>
      <c r="E7" s="3" t="s">
        <v>56</v>
      </c>
      <c r="F7" s="3" t="s">
        <v>16</v>
      </c>
      <c r="G7" s="3" t="s">
        <v>78</v>
      </c>
      <c r="H7" s="100" t="s">
        <v>23</v>
      </c>
      <c r="I7" s="3" t="s">
        <v>99</v>
      </c>
      <c r="J7" s="3" t="s">
        <v>59</v>
      </c>
      <c r="K7" s="3" t="s">
        <v>179</v>
      </c>
      <c r="L7" s="4" t="s">
        <v>82</v>
      </c>
      <c r="M7" s="106" t="s">
        <v>184</v>
      </c>
    </row>
    <row r="8" spans="1:14" ht="316.8" hidden="1">
      <c r="A8" s="11" t="s">
        <v>54</v>
      </c>
      <c r="B8" s="1" t="s">
        <v>130</v>
      </c>
      <c r="C8" s="15">
        <v>7</v>
      </c>
      <c r="D8" s="7" t="s">
        <v>85</v>
      </c>
      <c r="E8" s="3" t="s">
        <v>56</v>
      </c>
      <c r="F8" s="3" t="s">
        <v>16</v>
      </c>
      <c r="G8" s="3" t="s">
        <v>86</v>
      </c>
      <c r="H8" s="100" t="s">
        <v>87</v>
      </c>
      <c r="I8" s="3" t="s">
        <v>185</v>
      </c>
      <c r="J8" s="3" t="s">
        <v>59</v>
      </c>
      <c r="K8" s="3" t="s">
        <v>81</v>
      </c>
      <c r="L8" s="99" t="s">
        <v>89</v>
      </c>
      <c r="M8" s="27"/>
      <c r="N8" s="27"/>
    </row>
    <row r="9" spans="1:14" ht="316.8">
      <c r="A9" s="1" t="s">
        <v>54</v>
      </c>
      <c r="B9" s="1" t="s">
        <v>183</v>
      </c>
      <c r="C9" s="15">
        <v>8</v>
      </c>
      <c r="D9" s="7" t="s">
        <v>92</v>
      </c>
      <c r="E9" s="3" t="s">
        <v>56</v>
      </c>
      <c r="F9" s="3" t="s">
        <v>16</v>
      </c>
      <c r="G9" s="3" t="s">
        <v>86</v>
      </c>
      <c r="H9" s="100" t="s">
        <v>87</v>
      </c>
      <c r="I9" s="3" t="s">
        <v>186</v>
      </c>
      <c r="J9" s="3" t="s">
        <v>59</v>
      </c>
      <c r="K9" s="3" t="s">
        <v>81</v>
      </c>
      <c r="L9" s="4" t="s">
        <v>89</v>
      </c>
      <c r="M9" s="106" t="s">
        <v>187</v>
      </c>
    </row>
    <row r="10" spans="1:14" ht="316.8" hidden="1">
      <c r="A10" s="11" t="s">
        <v>54</v>
      </c>
      <c r="B10" s="1" t="s">
        <v>130</v>
      </c>
      <c r="C10" s="15">
        <v>9</v>
      </c>
      <c r="D10" s="7" t="s">
        <v>96</v>
      </c>
      <c r="E10" s="3" t="s">
        <v>56</v>
      </c>
      <c r="F10" s="3" t="s">
        <v>16</v>
      </c>
      <c r="G10" s="3" t="s">
        <v>86</v>
      </c>
      <c r="H10" s="100" t="s">
        <v>87</v>
      </c>
      <c r="I10" s="3"/>
      <c r="J10" s="3"/>
      <c r="K10" s="3"/>
      <c r="L10" s="4" t="s">
        <v>89</v>
      </c>
      <c r="M10" s="27"/>
      <c r="N10" s="27"/>
    </row>
    <row r="11" spans="1:14" ht="316.8">
      <c r="A11" s="1" t="s">
        <v>54</v>
      </c>
      <c r="B11" s="1" t="s">
        <v>183</v>
      </c>
      <c r="C11" s="15">
        <v>10</v>
      </c>
      <c r="D11" s="7" t="s">
        <v>98</v>
      </c>
      <c r="E11" s="3" t="s">
        <v>56</v>
      </c>
      <c r="F11" s="3" t="s">
        <v>16</v>
      </c>
      <c r="G11" s="3" t="s">
        <v>86</v>
      </c>
      <c r="H11" s="9" t="s">
        <v>87</v>
      </c>
      <c r="I11" s="3" t="s">
        <v>99</v>
      </c>
      <c r="J11" s="3" t="s">
        <v>59</v>
      </c>
      <c r="K11" s="3" t="s">
        <v>179</v>
      </c>
      <c r="L11" s="4" t="s">
        <v>89</v>
      </c>
      <c r="M11" s="106" t="s">
        <v>188</v>
      </c>
    </row>
    <row r="12" spans="1:14" ht="374.4" hidden="1">
      <c r="A12" s="11" t="s">
        <v>100</v>
      </c>
      <c r="B12" s="1" t="s">
        <v>130</v>
      </c>
      <c r="C12" s="15">
        <v>11</v>
      </c>
      <c r="D12" s="7" t="s">
        <v>101</v>
      </c>
      <c r="E12" s="3" t="s">
        <v>56</v>
      </c>
      <c r="F12" s="3" t="s">
        <v>16</v>
      </c>
      <c r="G12" s="3" t="s">
        <v>86</v>
      </c>
      <c r="H12" s="9" t="s">
        <v>102</v>
      </c>
      <c r="I12" s="14"/>
      <c r="J12" s="3"/>
      <c r="K12" s="27"/>
      <c r="L12" s="4" t="s">
        <v>89</v>
      </c>
      <c r="M12" s="106"/>
      <c r="N12" s="1" t="s">
        <v>189</v>
      </c>
    </row>
    <row r="13" spans="1:14" ht="374.4">
      <c r="A13" s="11" t="s">
        <v>54</v>
      </c>
      <c r="B13" s="1" t="s">
        <v>183</v>
      </c>
      <c r="C13" s="15">
        <v>12</v>
      </c>
      <c r="D13" s="7" t="s">
        <v>106</v>
      </c>
      <c r="E13" s="3" t="s">
        <v>56</v>
      </c>
      <c r="F13" s="3" t="s">
        <v>16</v>
      </c>
      <c r="G13" s="3" t="s">
        <v>107</v>
      </c>
      <c r="H13" s="9" t="s">
        <v>102</v>
      </c>
      <c r="I13" s="3" t="s">
        <v>190</v>
      </c>
      <c r="J13" s="3" t="s">
        <v>59</v>
      </c>
      <c r="K13" s="3" t="s">
        <v>179</v>
      </c>
      <c r="L13" s="4" t="s">
        <v>89</v>
      </c>
      <c r="M13" s="106" t="s">
        <v>191</v>
      </c>
    </row>
    <row r="14" spans="1:14" ht="374.4" hidden="1">
      <c r="A14" s="1" t="s">
        <v>54</v>
      </c>
      <c r="B14" s="1" t="s">
        <v>130</v>
      </c>
      <c r="C14" s="15">
        <v>13</v>
      </c>
      <c r="D14" s="7" t="s">
        <v>108</v>
      </c>
      <c r="E14" s="3" t="s">
        <v>56</v>
      </c>
      <c r="F14" s="3" t="s">
        <v>16</v>
      </c>
      <c r="G14" s="3" t="s">
        <v>107</v>
      </c>
      <c r="H14" s="9" t="s">
        <v>102</v>
      </c>
      <c r="I14" s="3"/>
      <c r="J14" s="3"/>
      <c r="K14" s="3"/>
      <c r="L14" s="4" t="s">
        <v>89</v>
      </c>
      <c r="M14" s="27"/>
      <c r="N14" s="1" t="s">
        <v>160</v>
      </c>
    </row>
    <row r="15" spans="1:14" ht="374.4">
      <c r="A15" s="1" t="s">
        <v>100</v>
      </c>
      <c r="B15" s="1" t="s">
        <v>183</v>
      </c>
      <c r="C15" s="15">
        <v>14</v>
      </c>
      <c r="D15" s="7" t="s">
        <v>113</v>
      </c>
      <c r="E15" s="3" t="s">
        <v>56</v>
      </c>
      <c r="F15" s="3" t="s">
        <v>16</v>
      </c>
      <c r="G15" s="3" t="s">
        <v>107</v>
      </c>
      <c r="H15" s="9" t="s">
        <v>102</v>
      </c>
      <c r="I15" s="3" t="s">
        <v>99</v>
      </c>
      <c r="J15" s="3" t="s">
        <v>59</v>
      </c>
      <c r="K15" s="18" t="s">
        <v>179</v>
      </c>
      <c r="L15" s="4" t="s">
        <v>89</v>
      </c>
      <c r="M15" s="106" t="s">
        <v>192</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hidden="1">
      <c r="A21" s="1" t="s">
        <v>100</v>
      </c>
      <c r="B21" s="1" t="s">
        <v>130</v>
      </c>
      <c r="C21" s="15">
        <v>20</v>
      </c>
      <c r="D21" s="10" t="s">
        <v>120</v>
      </c>
      <c r="E21" s="3" t="s">
        <v>56</v>
      </c>
      <c r="F21" s="3" t="s">
        <v>16</v>
      </c>
      <c r="G21" s="3" t="s">
        <v>78</v>
      </c>
      <c r="H21" s="9" t="s">
        <v>23</v>
      </c>
      <c r="I21" s="3"/>
      <c r="J21" s="3"/>
      <c r="K21" s="24"/>
      <c r="L21" s="4" t="s">
        <v>82</v>
      </c>
      <c r="M21" s="27"/>
    </row>
    <row r="22" spans="1:14" ht="201.6">
      <c r="B22" s="1" t="s">
        <v>183</v>
      </c>
      <c r="C22" s="15">
        <v>21</v>
      </c>
      <c r="D22" s="10" t="s">
        <v>120</v>
      </c>
      <c r="E22" s="3" t="s">
        <v>56</v>
      </c>
      <c r="F22" s="3" t="s">
        <v>16</v>
      </c>
      <c r="G22" s="3" t="s">
        <v>78</v>
      </c>
      <c r="H22" s="9" t="s">
        <v>23</v>
      </c>
      <c r="I22" s="3" t="s">
        <v>136</v>
      </c>
      <c r="J22" s="3" t="s">
        <v>59</v>
      </c>
      <c r="K22" s="3" t="s">
        <v>179</v>
      </c>
      <c r="L22" s="4" t="s">
        <v>193</v>
      </c>
      <c r="M22" s="106" t="s">
        <v>194</v>
      </c>
    </row>
    <row r="23" spans="1:14" ht="316.8" hidden="1">
      <c r="B23" s="1" t="s">
        <v>130</v>
      </c>
      <c r="C23" s="15">
        <v>22</v>
      </c>
      <c r="D23" s="10" t="s">
        <v>124</v>
      </c>
      <c r="E23" s="3" t="s">
        <v>56</v>
      </c>
      <c r="F23" s="3" t="s">
        <v>16</v>
      </c>
      <c r="G23" s="3" t="s">
        <v>86</v>
      </c>
      <c r="H23" s="9" t="s">
        <v>87</v>
      </c>
      <c r="I23" s="3"/>
      <c r="J23" s="3"/>
      <c r="K23" s="3"/>
      <c r="L23" s="4" t="s">
        <v>89</v>
      </c>
      <c r="M23" s="106"/>
      <c r="N23" s="1" t="s">
        <v>189</v>
      </c>
    </row>
    <row r="24" spans="1:14" ht="316.8">
      <c r="A24" s="11"/>
      <c r="B24" s="1" t="s">
        <v>183</v>
      </c>
      <c r="C24" s="15">
        <v>23</v>
      </c>
      <c r="D24" s="10" t="s">
        <v>128</v>
      </c>
      <c r="E24" s="3" t="s">
        <v>56</v>
      </c>
      <c r="F24" s="3" t="s">
        <v>16</v>
      </c>
      <c r="G24" s="3" t="s">
        <v>86</v>
      </c>
      <c r="H24" s="9" t="s">
        <v>87</v>
      </c>
      <c r="I24" s="3" t="s">
        <v>136</v>
      </c>
      <c r="J24" s="3" t="s">
        <v>59</v>
      </c>
      <c r="K24" s="3" t="s">
        <v>179</v>
      </c>
      <c r="L24" s="4" t="s">
        <v>89</v>
      </c>
      <c r="M24" s="106" t="s">
        <v>195</v>
      </c>
      <c r="N24" s="3"/>
    </row>
    <row r="25" spans="1:14" ht="316.8" hidden="1">
      <c r="A25" s="11" t="s">
        <v>130</v>
      </c>
      <c r="B25" s="1" t="s">
        <v>130</v>
      </c>
      <c r="C25" s="15">
        <v>24</v>
      </c>
      <c r="D25" s="10" t="s">
        <v>131</v>
      </c>
      <c r="E25" s="3" t="s">
        <v>56</v>
      </c>
      <c r="F25" s="3" t="s">
        <v>16</v>
      </c>
      <c r="G25" s="3" t="s">
        <v>86</v>
      </c>
      <c r="H25" s="9" t="s">
        <v>87</v>
      </c>
      <c r="I25" s="3"/>
      <c r="J25" s="3"/>
      <c r="K25" s="18"/>
      <c r="L25" s="4" t="s">
        <v>89</v>
      </c>
      <c r="M25" s="27"/>
      <c r="N25" s="1" t="s">
        <v>30</v>
      </c>
    </row>
    <row r="26" spans="1:14" ht="316.8">
      <c r="B26" s="1" t="s">
        <v>183</v>
      </c>
      <c r="C26" s="15">
        <v>25</v>
      </c>
      <c r="D26" s="10" t="s">
        <v>196</v>
      </c>
      <c r="E26" s="3" t="s">
        <v>56</v>
      </c>
      <c r="F26" s="3" t="s">
        <v>16</v>
      </c>
      <c r="G26" s="3" t="s">
        <v>86</v>
      </c>
      <c r="H26" s="9" t="s">
        <v>87</v>
      </c>
      <c r="I26" s="3" t="s">
        <v>136</v>
      </c>
      <c r="J26" s="3" t="s">
        <v>59</v>
      </c>
      <c r="K26" s="3" t="s">
        <v>179</v>
      </c>
      <c r="L26" s="4" t="s">
        <v>89</v>
      </c>
      <c r="M26" s="106" t="s">
        <v>197</v>
      </c>
      <c r="N26"/>
    </row>
    <row r="27" spans="1:14" ht="374.4" hidden="1">
      <c r="B27" s="1" t="s">
        <v>130</v>
      </c>
      <c r="C27" s="15">
        <v>26</v>
      </c>
      <c r="D27" s="10" t="s">
        <v>138</v>
      </c>
      <c r="E27" s="3" t="s">
        <v>56</v>
      </c>
      <c r="F27" s="3" t="s">
        <v>16</v>
      </c>
      <c r="G27" s="3" t="s">
        <v>86</v>
      </c>
      <c r="H27" s="9" t="s">
        <v>102</v>
      </c>
      <c r="I27" s="3"/>
      <c r="J27" s="3"/>
      <c r="K27" s="3"/>
      <c r="L27" s="4" t="s">
        <v>89</v>
      </c>
      <c r="M27" s="27"/>
    </row>
    <row r="28" spans="1:14" ht="374.4">
      <c r="B28" s="1" t="s">
        <v>183</v>
      </c>
      <c r="C28" s="15">
        <v>27</v>
      </c>
      <c r="D28" s="10" t="s">
        <v>141</v>
      </c>
      <c r="E28" s="3" t="s">
        <v>56</v>
      </c>
      <c r="F28" s="3" t="s">
        <v>16</v>
      </c>
      <c r="G28" s="3" t="s">
        <v>107</v>
      </c>
      <c r="H28" s="9" t="s">
        <v>102</v>
      </c>
      <c r="I28" s="3" t="s">
        <v>136</v>
      </c>
      <c r="J28" s="3" t="s">
        <v>59</v>
      </c>
      <c r="K28" s="3" t="s">
        <v>179</v>
      </c>
      <c r="L28" s="4" t="s">
        <v>89</v>
      </c>
      <c r="M28" s="106" t="s">
        <v>198</v>
      </c>
      <c r="N28" s="1" t="s">
        <v>30</v>
      </c>
    </row>
    <row r="29" spans="1:14" ht="374.4" hidden="1">
      <c r="A29" s="11"/>
      <c r="B29" s="1" t="s">
        <v>130</v>
      </c>
      <c r="C29" s="15">
        <v>28</v>
      </c>
      <c r="D29" s="10" t="s">
        <v>142</v>
      </c>
      <c r="E29" s="3" t="s">
        <v>56</v>
      </c>
      <c r="F29" s="3" t="s">
        <v>16</v>
      </c>
      <c r="G29" s="3" t="s">
        <v>107</v>
      </c>
      <c r="H29" s="9" t="s">
        <v>102</v>
      </c>
      <c r="I29" s="3"/>
      <c r="J29" s="3"/>
      <c r="K29" s="3"/>
      <c r="L29" s="4" t="s">
        <v>89</v>
      </c>
      <c r="M29" s="106"/>
    </row>
    <row r="30" spans="1:14" ht="374.4">
      <c r="A30" s="11"/>
      <c r="B30" s="1" t="s">
        <v>183</v>
      </c>
      <c r="C30" s="15">
        <v>29</v>
      </c>
      <c r="D30" s="10" t="s">
        <v>146</v>
      </c>
      <c r="E30" s="3" t="s">
        <v>56</v>
      </c>
      <c r="F30" s="3" t="s">
        <v>16</v>
      </c>
      <c r="G30" s="3" t="s">
        <v>107</v>
      </c>
      <c r="H30" s="9" t="s">
        <v>102</v>
      </c>
      <c r="I30" s="3" t="s">
        <v>147</v>
      </c>
      <c r="J30" s="3" t="s">
        <v>59</v>
      </c>
      <c r="K30" s="3" t="s">
        <v>179</v>
      </c>
      <c r="L30" s="4" t="s">
        <v>89</v>
      </c>
      <c r="M30" s="106" t="s">
        <v>199</v>
      </c>
    </row>
    <row r="31" spans="1:14" ht="230.4" hidden="1">
      <c r="B31" s="94"/>
      <c r="C31" s="97">
        <v>30</v>
      </c>
      <c r="D31" s="12" t="s">
        <v>46</v>
      </c>
      <c r="E31" s="13" t="s">
        <v>56</v>
      </c>
      <c r="F31" s="13" t="s">
        <v>16</v>
      </c>
      <c r="G31" s="13" t="s">
        <v>63</v>
      </c>
      <c r="H31" s="9" t="s">
        <v>18</v>
      </c>
      <c r="I31" s="3"/>
      <c r="J31" s="3"/>
      <c r="K31" s="3"/>
      <c r="L31" s="4" t="s">
        <v>64</v>
      </c>
      <c r="M31" s="3"/>
    </row>
    <row r="32" spans="1:14" ht="230.4" hidden="1">
      <c r="A32" s="11"/>
      <c r="B32" s="1" t="s">
        <v>130</v>
      </c>
      <c r="C32" s="15">
        <v>31</v>
      </c>
      <c r="D32" s="3" t="s">
        <v>47</v>
      </c>
      <c r="E32" s="3" t="s">
        <v>56</v>
      </c>
      <c r="F32" s="3" t="s">
        <v>16</v>
      </c>
      <c r="G32" s="3" t="s">
        <v>149</v>
      </c>
      <c r="H32" s="9" t="s">
        <v>18</v>
      </c>
      <c r="I32" s="3"/>
      <c r="J32" s="3"/>
      <c r="K32" s="3"/>
      <c r="L32" s="4" t="s">
        <v>151</v>
      </c>
      <c r="M32" s="27"/>
      <c r="N32" s="1" t="s">
        <v>30</v>
      </c>
    </row>
    <row r="33" spans="1:13" ht="230.4">
      <c r="A33" s="11"/>
      <c r="B33" s="1" t="s">
        <v>183</v>
      </c>
      <c r="C33" s="15">
        <v>32</v>
      </c>
      <c r="D33" s="3" t="s">
        <v>49</v>
      </c>
      <c r="E33" s="3" t="s">
        <v>56</v>
      </c>
      <c r="F33" s="3" t="s">
        <v>16</v>
      </c>
      <c r="G33" s="3" t="s">
        <v>63</v>
      </c>
      <c r="H33" s="9" t="s">
        <v>18</v>
      </c>
      <c r="I33" s="3" t="s">
        <v>153</v>
      </c>
      <c r="J33" s="3" t="s">
        <v>59</v>
      </c>
      <c r="K33" s="3" t="s">
        <v>179</v>
      </c>
      <c r="L33" s="4" t="s">
        <v>154</v>
      </c>
      <c r="M33" s="106" t="s">
        <v>200</v>
      </c>
    </row>
  </sheetData>
  <autoFilter ref="A1:M33" xr:uid="{DCB37448-7794-4D71-83D8-79D0F3D93892}">
    <filterColumn colId="1">
      <filters>
        <filter val="Oscar"/>
      </filters>
    </filterColumn>
  </autoFilter>
  <hyperlinks>
    <hyperlink ref="L2" r:id="rId1" xr:uid="{2583E281-0F26-41D0-AB62-7532DB61D419}"/>
    <hyperlink ref="L3:L5" r:id="rId2" display="https://app.clickup.com/t/8499449/APP-250" xr:uid="{303E5140-924B-4CEE-8D9C-3B6CA5B847F3}"/>
    <hyperlink ref="L6" r:id="rId3" display="https://app.clickup.com/t/8499449/APP-250" xr:uid="{3A3BF055-03E1-4300-8CBA-D6333C601561}"/>
    <hyperlink ref="L7:L12" r:id="rId4" display="https://app.clickup.com/t/8499449/APP-250" xr:uid="{D25F0C51-E79F-45D9-B62D-2811CE54F84C}"/>
    <hyperlink ref="L16" r:id="rId5" display="https://app.clickup.com/t/8499449/APP-250" xr:uid="{3405408F-CC54-4414-9446-8A8D33503F8B}"/>
    <hyperlink ref="L8" r:id="rId6" display="https://app.clickup.com/t/8499449/APP-250" xr:uid="{80B17C45-D601-4B3C-805B-4D0AADB69786}"/>
    <hyperlink ref="L9" r:id="rId7" display="https://app.clickup.com/t/8499449/APP-250" xr:uid="{54C3AB86-509F-445E-A90E-46FDABFA1C53}"/>
    <hyperlink ref="L10" r:id="rId8" display="https://app.clickup.com/t/8499449/APP-250" xr:uid="{F6EC16D5-D7D4-45C7-B1D4-8995B34E8DC6}"/>
    <hyperlink ref="L11" r:id="rId9" display="https://app.clickup.com/t/8499449/APP-250" xr:uid="{29133CAC-52B9-49D6-BCFE-37AFE69A6313}"/>
    <hyperlink ref="L13" r:id="rId10" display="https://app.clickup.com/t/8499449/APP-250" xr:uid="{D930A4A8-B5A5-463C-852A-96726746088D}"/>
    <hyperlink ref="L14" r:id="rId11" display="https://app.clickup.com/t/8499449/APP-250" xr:uid="{94777C05-AFD3-4577-A7B9-3D84319DAC90}"/>
    <hyperlink ref="L15" r:id="rId12" display="https://app.clickup.com/t/8499449/APP-250" xr:uid="{C4AF99D9-B0B2-4CCA-A3F1-B23314CE4DB8}"/>
    <hyperlink ref="L17:L19" r:id="rId13" display="https://app.clickup.com/t/8499449/APP-250" xr:uid="{3AF3D383-1813-497C-9F03-0FC935CFADFD}"/>
    <hyperlink ref="L20" r:id="rId14" display="https://app.clickup.com/t/8499449/APP-250" xr:uid="{3F5F90DE-F706-4895-84CD-5C7BF8CE0F15}"/>
    <hyperlink ref="L21:L27" r:id="rId15" display="https://app.clickup.com/t/8499449/APP-250" xr:uid="{E95A6B30-27EC-4C9C-92E9-A382E60E0E11}"/>
    <hyperlink ref="L31" r:id="rId16" display="https://app.clickup.com/t/8499449/APP-250" xr:uid="{93210E75-13A1-422F-AAF3-E85C3F0C5BBA}"/>
    <hyperlink ref="L23" r:id="rId17" display="https://app.clickup.com/t/8499449/APP-250" xr:uid="{6EB39854-3179-4BBC-A123-90924D56BE4A}"/>
    <hyperlink ref="L24" r:id="rId18" display="https://app.clickup.com/t/8499449/APP-250" xr:uid="{7BC38156-341F-4930-A333-0FEFD6635F86}"/>
    <hyperlink ref="L25" r:id="rId19" display="https://app.clickup.com/t/8499449/APP-250" xr:uid="{00C494F0-2572-45D4-A129-D57C91EAC749}"/>
    <hyperlink ref="L26" r:id="rId20" display="https://app.clickup.com/t/8499449/APP-250" xr:uid="{C21FDF24-7F11-4AE6-8C0C-0DA7B23A4B8D}"/>
    <hyperlink ref="L28" r:id="rId21" display="https://app.clickup.com/t/8499449/APP-250" xr:uid="{0C7D246C-026A-475D-ACDD-5BF8CCB960BF}"/>
    <hyperlink ref="L29" r:id="rId22" display="https://app.clickup.com/t/8499449/APP-250" xr:uid="{4FE3B817-B72B-4F2C-9A4C-42A9D770C947}"/>
    <hyperlink ref="L30" r:id="rId23" display="https://app.clickup.com/t/8499449/APP-250" xr:uid="{86EDE39F-8109-49CC-8FF0-3A207D9A89FC}"/>
    <hyperlink ref="L32" r:id="rId24" display="https://app.clickup.com/t/8499449/APP-250" xr:uid="{7D44D97A-A0CE-458F-B38B-DAD5DCBEEA49}"/>
    <hyperlink ref="L33" r:id="rId25" display="https://app.clickup.com/t/8499449/APP-250" xr:uid="{FCA42E74-05CF-4879-B0DF-203FEF640A76}"/>
    <hyperlink ref="M7" r:id="rId26" xr:uid="{DF3BB313-3F74-427C-9E22-F63F1FC97921}"/>
    <hyperlink ref="M9" r:id="rId27" xr:uid="{1215B45A-32EE-438E-A502-41FB1FBDAB65}"/>
    <hyperlink ref="M11" r:id="rId28" xr:uid="{4CC36962-5F34-4036-960C-E3FF3D6FF718}"/>
    <hyperlink ref="M13" r:id="rId29" xr:uid="{8AF9DACC-C61D-49ED-8F78-6E2374426BB3}"/>
    <hyperlink ref="M15" r:id="rId30" xr:uid="{50F432ED-A7C5-4B6E-A85A-C70354613B0A}"/>
    <hyperlink ref="M22" r:id="rId31" xr:uid="{8652D67C-5DEC-403E-93DC-31632D856225}"/>
    <hyperlink ref="M24" r:id="rId32" xr:uid="{95CD2C0F-67C3-4ED7-984F-3EE127A1145B}"/>
    <hyperlink ref="M26" r:id="rId33" xr:uid="{65BF8FB6-5616-46F7-ADE3-97760673BD66}"/>
    <hyperlink ref="M28" r:id="rId34" xr:uid="{FA4AA032-290E-4889-B5C4-76AFC74481B4}"/>
    <hyperlink ref="M30" r:id="rId35" xr:uid="{2337C93E-5984-42C1-8781-40044E70B9CE}"/>
    <hyperlink ref="M33" r:id="rId36" xr:uid="{1CAADFE1-0F10-42E4-94A5-7A964AB5BF4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E0FA-6A3C-4645-AE25-E75B2D5D9895}">
  <sheetPr filterMode="1"/>
  <dimension ref="A1:N33"/>
  <sheetViews>
    <sheetView workbookViewId="0">
      <pane ySplit="1" topLeftCell="A28" activePane="bottomLeft" state="frozen"/>
      <selection pane="bottomLeft" activeCell="D28" sqref="D28"/>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5">
        <v>1</v>
      </c>
      <c r="D2" s="3" t="s">
        <v>10</v>
      </c>
      <c r="E2" s="3" t="s">
        <v>56</v>
      </c>
      <c r="F2" s="3" t="s">
        <v>12</v>
      </c>
      <c r="G2" s="3" t="s">
        <v>57</v>
      </c>
      <c r="H2" s="100" t="s">
        <v>14</v>
      </c>
      <c r="I2" s="3"/>
      <c r="J2" s="3"/>
      <c r="K2" s="3"/>
      <c r="L2" s="4" t="s">
        <v>60</v>
      </c>
      <c r="M2" s="106" t="s">
        <v>202</v>
      </c>
    </row>
    <row r="3" spans="1:14" ht="230.4" hidden="1">
      <c r="A3" s="11" t="s">
        <v>54</v>
      </c>
      <c r="B3" s="94"/>
      <c r="C3" s="19">
        <v>2</v>
      </c>
      <c r="D3" s="7" t="s">
        <v>15</v>
      </c>
      <c r="E3" s="3" t="s">
        <v>56</v>
      </c>
      <c r="F3" s="3" t="s">
        <v>16</v>
      </c>
      <c r="G3" s="3" t="s">
        <v>63</v>
      </c>
      <c r="H3" s="9" t="s">
        <v>18</v>
      </c>
      <c r="J3" s="3"/>
      <c r="K3" s="3"/>
      <c r="L3" s="4" t="s">
        <v>64</v>
      </c>
      <c r="M3" s="3"/>
    </row>
    <row r="4" spans="1:14" ht="230.4" hidden="1">
      <c r="A4" s="1" t="s">
        <v>54</v>
      </c>
      <c r="B4" s="94"/>
      <c r="C4" s="19">
        <v>3</v>
      </c>
      <c r="D4" s="7" t="s">
        <v>65</v>
      </c>
      <c r="E4" s="3" t="s">
        <v>56</v>
      </c>
      <c r="F4" s="3" t="s">
        <v>16</v>
      </c>
      <c r="G4" s="3" t="s">
        <v>66</v>
      </c>
      <c r="H4" s="9" t="s">
        <v>40</v>
      </c>
      <c r="J4" s="3"/>
      <c r="K4" s="3"/>
      <c r="L4" s="4" t="s">
        <v>67</v>
      </c>
      <c r="M4" s="3"/>
    </row>
    <row r="5" spans="1:14" ht="244.8" hidden="1">
      <c r="A5" s="1" t="s">
        <v>54</v>
      </c>
      <c r="B5" s="94" t="s">
        <v>68</v>
      </c>
      <c r="C5" s="19">
        <v>4</v>
      </c>
      <c r="D5" s="7" t="s">
        <v>69</v>
      </c>
      <c r="E5" s="3" t="s">
        <v>56</v>
      </c>
      <c r="F5" s="3" t="s">
        <v>16</v>
      </c>
      <c r="G5" s="3" t="s">
        <v>70</v>
      </c>
      <c r="H5" s="9" t="s">
        <v>42</v>
      </c>
      <c r="J5" s="3"/>
      <c r="K5" s="3"/>
      <c r="L5" s="4" t="s">
        <v>71</v>
      </c>
      <c r="M5" s="3"/>
    </row>
    <row r="6" spans="1:14" ht="230.4" hidden="1">
      <c r="A6" s="11" t="s">
        <v>54</v>
      </c>
      <c r="B6" s="94"/>
      <c r="C6" s="19">
        <v>5</v>
      </c>
      <c r="D6" s="7" t="s">
        <v>72</v>
      </c>
      <c r="E6" s="3" t="s">
        <v>56</v>
      </c>
      <c r="F6" s="3" t="s">
        <v>16</v>
      </c>
      <c r="G6" s="3" t="s">
        <v>73</v>
      </c>
      <c r="H6" s="9" t="s">
        <v>74</v>
      </c>
      <c r="J6" s="3"/>
      <c r="K6" s="3"/>
      <c r="L6" s="4" t="s">
        <v>75</v>
      </c>
      <c r="M6" s="3"/>
    </row>
    <row r="7" spans="1:14" ht="201.6">
      <c r="A7" s="1" t="s">
        <v>54</v>
      </c>
      <c r="B7" s="1" t="s">
        <v>203</v>
      </c>
      <c r="C7" s="15">
        <v>6</v>
      </c>
      <c r="D7" s="7" t="s">
        <v>77</v>
      </c>
      <c r="E7" s="3" t="s">
        <v>56</v>
      </c>
      <c r="F7" s="3" t="s">
        <v>16</v>
      </c>
      <c r="G7" s="3" t="s">
        <v>78</v>
      </c>
      <c r="H7" s="100" t="s">
        <v>23</v>
      </c>
      <c r="I7" s="3"/>
      <c r="J7" s="3"/>
      <c r="K7" s="3"/>
      <c r="L7" s="4" t="s">
        <v>82</v>
      </c>
      <c r="M7" s="27" t="s">
        <v>204</v>
      </c>
    </row>
    <row r="8" spans="1:14" ht="316.8">
      <c r="A8" s="11" t="s">
        <v>54</v>
      </c>
      <c r="B8" s="1" t="s">
        <v>130</v>
      </c>
      <c r="C8" s="15">
        <v>7</v>
      </c>
      <c r="D8" s="7" t="s">
        <v>85</v>
      </c>
      <c r="E8" s="3" t="s">
        <v>56</v>
      </c>
      <c r="F8" s="3" t="s">
        <v>16</v>
      </c>
      <c r="G8" s="3" t="s">
        <v>86</v>
      </c>
      <c r="H8" s="100" t="s">
        <v>87</v>
      </c>
      <c r="I8" s="3" t="s">
        <v>185</v>
      </c>
      <c r="J8" s="107" t="s">
        <v>80</v>
      </c>
      <c r="K8" s="3" t="s">
        <v>81</v>
      </c>
      <c r="L8" s="99" t="s">
        <v>89</v>
      </c>
      <c r="M8" s="27" t="s">
        <v>205</v>
      </c>
      <c r="N8" s="27"/>
    </row>
    <row r="9" spans="1:14" ht="316.8">
      <c r="A9" s="1" t="s">
        <v>54</v>
      </c>
      <c r="B9" s="1" t="s">
        <v>206</v>
      </c>
      <c r="C9" s="15">
        <v>8</v>
      </c>
      <c r="D9" s="7" t="s">
        <v>92</v>
      </c>
      <c r="E9" s="3" t="s">
        <v>56</v>
      </c>
      <c r="F9" s="3" t="s">
        <v>16</v>
      </c>
      <c r="G9" s="3" t="s">
        <v>86</v>
      </c>
      <c r="H9" s="100" t="s">
        <v>87</v>
      </c>
      <c r="I9" s="3" t="s">
        <v>207</v>
      </c>
      <c r="J9" s="29" t="s">
        <v>80</v>
      </c>
      <c r="K9" s="3" t="s">
        <v>81</v>
      </c>
      <c r="L9" s="4" t="s">
        <v>89</v>
      </c>
      <c r="M9" s="27" t="s">
        <v>208</v>
      </c>
      <c r="N9" s="1" t="s">
        <v>209</v>
      </c>
    </row>
    <row r="10" spans="1:14" ht="316.8">
      <c r="A10" s="11" t="s">
        <v>54</v>
      </c>
      <c r="B10" s="1" t="s">
        <v>203</v>
      </c>
      <c r="C10" s="15">
        <v>9</v>
      </c>
      <c r="D10" s="7" t="s">
        <v>96</v>
      </c>
      <c r="E10" s="3" t="s">
        <v>56</v>
      </c>
      <c r="F10" s="3" t="s">
        <v>16</v>
      </c>
      <c r="G10" s="3" t="s">
        <v>86</v>
      </c>
      <c r="H10" s="100" t="s">
        <v>87</v>
      </c>
      <c r="I10" s="3"/>
      <c r="J10" s="3"/>
      <c r="K10" s="3"/>
      <c r="L10" s="4" t="s">
        <v>89</v>
      </c>
      <c r="M10" s="27" t="s">
        <v>210</v>
      </c>
      <c r="N10" s="27"/>
    </row>
    <row r="11" spans="1:14" ht="316.8">
      <c r="A11" s="1" t="s">
        <v>54</v>
      </c>
      <c r="B11" s="1" t="s">
        <v>130</v>
      </c>
      <c r="C11" s="15">
        <v>10</v>
      </c>
      <c r="D11" s="7" t="s">
        <v>98</v>
      </c>
      <c r="E11" s="3" t="s">
        <v>56</v>
      </c>
      <c r="F11" s="3" t="s">
        <v>16</v>
      </c>
      <c r="G11" s="3" t="s">
        <v>86</v>
      </c>
      <c r="H11" s="9" t="s">
        <v>87</v>
      </c>
      <c r="I11" s="3"/>
      <c r="J11" s="3"/>
      <c r="K11" s="3"/>
      <c r="L11" s="4" t="s">
        <v>89</v>
      </c>
      <c r="M11" s="27" t="s">
        <v>211</v>
      </c>
      <c r="N11" s="1" t="s">
        <v>160</v>
      </c>
    </row>
    <row r="12" spans="1:14" ht="374.4">
      <c r="A12" s="11" t="s">
        <v>100</v>
      </c>
      <c r="B12" s="1" t="s">
        <v>201</v>
      </c>
      <c r="C12" s="15">
        <v>11</v>
      </c>
      <c r="D12" s="7" t="s">
        <v>101</v>
      </c>
      <c r="E12" s="3" t="s">
        <v>56</v>
      </c>
      <c r="F12" s="3" t="s">
        <v>16</v>
      </c>
      <c r="G12" s="3" t="s">
        <v>86</v>
      </c>
      <c r="H12" s="9" t="s">
        <v>102</v>
      </c>
      <c r="I12" s="14"/>
      <c r="J12" s="3"/>
      <c r="K12" s="27"/>
      <c r="L12" s="4" t="s">
        <v>89</v>
      </c>
      <c r="M12" s="106" t="s">
        <v>212</v>
      </c>
      <c r="N12" s="1" t="s">
        <v>189</v>
      </c>
    </row>
    <row r="13" spans="1:14" ht="374.4">
      <c r="A13" s="11" t="s">
        <v>54</v>
      </c>
      <c r="B13" s="1" t="s">
        <v>203</v>
      </c>
      <c r="C13" s="15">
        <v>12</v>
      </c>
      <c r="D13" s="7" t="s">
        <v>106</v>
      </c>
      <c r="E13" s="3" t="s">
        <v>56</v>
      </c>
      <c r="F13" s="3" t="s">
        <v>16</v>
      </c>
      <c r="G13" s="3" t="s">
        <v>107</v>
      </c>
      <c r="H13" s="9" t="s">
        <v>102</v>
      </c>
      <c r="I13" s="3"/>
      <c r="J13" s="3"/>
      <c r="K13" s="3"/>
      <c r="L13" s="4" t="s">
        <v>89</v>
      </c>
      <c r="M13" s="27" t="s">
        <v>213</v>
      </c>
    </row>
    <row r="14" spans="1:14" ht="374.4">
      <c r="A14" s="1" t="s">
        <v>54</v>
      </c>
      <c r="B14" s="1" t="s">
        <v>130</v>
      </c>
      <c r="C14" s="15">
        <v>13</v>
      </c>
      <c r="D14" s="7" t="s">
        <v>108</v>
      </c>
      <c r="E14" s="3" t="s">
        <v>56</v>
      </c>
      <c r="F14" s="3" t="s">
        <v>16</v>
      </c>
      <c r="G14" s="3" t="s">
        <v>107</v>
      </c>
      <c r="H14" s="9" t="s">
        <v>102</v>
      </c>
      <c r="I14" s="3"/>
      <c r="J14" s="3"/>
      <c r="K14" s="3"/>
      <c r="L14" s="4" t="s">
        <v>89</v>
      </c>
      <c r="M14" s="27" t="s">
        <v>214</v>
      </c>
      <c r="N14" s="1" t="s">
        <v>160</v>
      </c>
    </row>
    <row r="15" spans="1:14" ht="374.4">
      <c r="A15" s="1" t="s">
        <v>100</v>
      </c>
      <c r="B15" s="1" t="s">
        <v>201</v>
      </c>
      <c r="C15" s="15">
        <v>14</v>
      </c>
      <c r="D15" s="7" t="s">
        <v>113</v>
      </c>
      <c r="E15" s="3" t="s">
        <v>56</v>
      </c>
      <c r="F15" s="3" t="s">
        <v>16</v>
      </c>
      <c r="G15" s="3" t="s">
        <v>107</v>
      </c>
      <c r="H15" s="9" t="s">
        <v>102</v>
      </c>
      <c r="I15" s="3"/>
      <c r="J15" s="3"/>
      <c r="K15" s="18"/>
      <c r="L15" s="4" t="s">
        <v>89</v>
      </c>
      <c r="M15" s="106" t="s">
        <v>215</v>
      </c>
      <c r="N15" s="1" t="s">
        <v>189</v>
      </c>
    </row>
    <row r="16" spans="1:14" ht="230.4" hidden="1">
      <c r="B16" s="94"/>
      <c r="C16" s="19">
        <v>15</v>
      </c>
      <c r="D16" s="7" t="s">
        <v>33</v>
      </c>
      <c r="E16" s="3" t="s">
        <v>56</v>
      </c>
      <c r="F16" s="3" t="s">
        <v>16</v>
      </c>
      <c r="G16" s="3" t="s">
        <v>63</v>
      </c>
      <c r="H16" s="9" t="s">
        <v>18</v>
      </c>
      <c r="I16" s="3"/>
      <c r="J16" s="3"/>
      <c r="K16" s="3"/>
      <c r="L16" s="4" t="s">
        <v>64</v>
      </c>
      <c r="M16" s="3"/>
    </row>
    <row r="17" spans="1:14" ht="230.4" hidden="1">
      <c r="B17" s="94"/>
      <c r="C17" s="19">
        <v>16</v>
      </c>
      <c r="D17" s="10" t="s">
        <v>35</v>
      </c>
      <c r="E17" s="3" t="s">
        <v>56</v>
      </c>
      <c r="F17" s="3" t="s">
        <v>16</v>
      </c>
      <c r="G17" s="3" t="s">
        <v>63</v>
      </c>
      <c r="H17" s="9" t="s">
        <v>18</v>
      </c>
      <c r="I17" s="3"/>
      <c r="J17" s="3"/>
      <c r="K17" s="3"/>
      <c r="L17" s="4" t="s">
        <v>64</v>
      </c>
      <c r="M17" s="3"/>
    </row>
    <row r="18" spans="1:14" ht="230.4" hidden="1">
      <c r="A18" s="11"/>
      <c r="B18" s="94"/>
      <c r="C18" s="19">
        <v>17</v>
      </c>
      <c r="D18" s="10" t="s">
        <v>115</v>
      </c>
      <c r="E18" s="3" t="s">
        <v>56</v>
      </c>
      <c r="F18" s="3" t="s">
        <v>16</v>
      </c>
      <c r="G18" s="3" t="s">
        <v>66</v>
      </c>
      <c r="H18" s="9" t="s">
        <v>40</v>
      </c>
      <c r="I18" s="3"/>
      <c r="J18" s="3"/>
      <c r="K18" s="3"/>
      <c r="L18" s="4" t="s">
        <v>67</v>
      </c>
      <c r="M18" s="3"/>
    </row>
    <row r="19" spans="1:14" ht="244.8" hidden="1">
      <c r="A19" s="11"/>
      <c r="B19" s="94" t="s">
        <v>116</v>
      </c>
      <c r="C19" s="19">
        <v>18</v>
      </c>
      <c r="D19" s="10" t="s">
        <v>117</v>
      </c>
      <c r="E19" s="3" t="s">
        <v>56</v>
      </c>
      <c r="F19" s="3" t="s">
        <v>16</v>
      </c>
      <c r="G19" s="3" t="s">
        <v>70</v>
      </c>
      <c r="H19" s="9" t="s">
        <v>42</v>
      </c>
      <c r="I19" s="3" t="s">
        <v>118</v>
      </c>
      <c r="J19" s="3"/>
      <c r="K19" s="3"/>
      <c r="L19" s="4" t="s">
        <v>71</v>
      </c>
      <c r="M19" s="3"/>
    </row>
    <row r="20" spans="1:14" ht="230.4" hidden="1">
      <c r="B20" s="94"/>
      <c r="C20" s="19">
        <v>19</v>
      </c>
      <c r="D20" s="10" t="s">
        <v>119</v>
      </c>
      <c r="E20" s="3" t="s">
        <v>56</v>
      </c>
      <c r="F20" s="3" t="s">
        <v>16</v>
      </c>
      <c r="G20" s="3" t="s">
        <v>73</v>
      </c>
      <c r="H20" s="9" t="s">
        <v>74</v>
      </c>
      <c r="I20" s="3"/>
      <c r="J20" s="3"/>
      <c r="K20" s="3"/>
      <c r="L20" s="4" t="s">
        <v>75</v>
      </c>
      <c r="M20" s="3"/>
    </row>
    <row r="21" spans="1:14" ht="201.6">
      <c r="A21" s="1" t="s">
        <v>100</v>
      </c>
      <c r="B21" s="1" t="s">
        <v>203</v>
      </c>
      <c r="C21" s="15">
        <v>20</v>
      </c>
      <c r="D21" s="10" t="s">
        <v>120</v>
      </c>
      <c r="E21" s="3" t="s">
        <v>56</v>
      </c>
      <c r="F21" s="3" t="s">
        <v>16</v>
      </c>
      <c r="G21" s="3" t="s">
        <v>78</v>
      </c>
      <c r="H21" s="9" t="s">
        <v>23</v>
      </c>
      <c r="I21" s="3"/>
      <c r="J21" s="3"/>
      <c r="K21" s="24"/>
      <c r="L21" s="4" t="s">
        <v>82</v>
      </c>
      <c r="M21" s="27" t="s">
        <v>216</v>
      </c>
    </row>
    <row r="22" spans="1:14" ht="201.6">
      <c r="B22" s="1" t="s">
        <v>130</v>
      </c>
      <c r="C22" s="15">
        <v>21</v>
      </c>
      <c r="D22" s="10" t="s">
        <v>120</v>
      </c>
      <c r="E22" s="3" t="s">
        <v>56</v>
      </c>
      <c r="F22" s="3" t="s">
        <v>16</v>
      </c>
      <c r="G22" s="3" t="s">
        <v>78</v>
      </c>
      <c r="H22" s="9" t="s">
        <v>23</v>
      </c>
      <c r="I22" s="3"/>
      <c r="J22" s="3"/>
      <c r="K22" s="3"/>
      <c r="L22" s="4" t="s">
        <v>193</v>
      </c>
      <c r="M22" s="27" t="s">
        <v>217</v>
      </c>
      <c r="N22" s="1" t="s">
        <v>30</v>
      </c>
    </row>
    <row r="23" spans="1:14" ht="316.8">
      <c r="B23" s="1" t="s">
        <v>201</v>
      </c>
      <c r="C23" s="15">
        <v>22</v>
      </c>
      <c r="D23" s="10" t="s">
        <v>124</v>
      </c>
      <c r="E23" s="3" t="s">
        <v>56</v>
      </c>
      <c r="F23" s="3" t="s">
        <v>16</v>
      </c>
      <c r="G23" s="3" t="s">
        <v>86</v>
      </c>
      <c r="H23" s="9" t="s">
        <v>87</v>
      </c>
      <c r="I23" s="3"/>
      <c r="J23" s="3"/>
      <c r="K23" s="3"/>
      <c r="L23" s="4" t="s">
        <v>89</v>
      </c>
      <c r="M23" s="106" t="s">
        <v>218</v>
      </c>
      <c r="N23" s="1" t="s">
        <v>189</v>
      </c>
    </row>
    <row r="24" spans="1:14" ht="316.8">
      <c r="A24" s="11"/>
      <c r="B24" s="1" t="s">
        <v>203</v>
      </c>
      <c r="C24" s="15">
        <v>23</v>
      </c>
      <c r="D24" s="10" t="s">
        <v>128</v>
      </c>
      <c r="E24" s="3" t="s">
        <v>56</v>
      </c>
      <c r="F24" s="3" t="s">
        <v>16</v>
      </c>
      <c r="G24" s="3" t="s">
        <v>86</v>
      </c>
      <c r="H24" s="9" t="s">
        <v>87</v>
      </c>
      <c r="I24" s="3"/>
      <c r="J24" s="3"/>
      <c r="K24" s="3"/>
      <c r="L24" s="4" t="s">
        <v>89</v>
      </c>
      <c r="M24" s="27" t="s">
        <v>219</v>
      </c>
      <c r="N24" s="3"/>
    </row>
    <row r="25" spans="1:14" ht="316.8">
      <c r="A25" s="11" t="s">
        <v>130</v>
      </c>
      <c r="B25" s="1" t="s">
        <v>130</v>
      </c>
      <c r="C25" s="15">
        <v>24</v>
      </c>
      <c r="D25" s="10" t="s">
        <v>131</v>
      </c>
      <c r="E25" s="3" t="s">
        <v>220</v>
      </c>
      <c r="F25" s="3" t="s">
        <v>16</v>
      </c>
      <c r="G25" s="3" t="s">
        <v>86</v>
      </c>
      <c r="H25" s="9" t="s">
        <v>87</v>
      </c>
      <c r="I25" s="3"/>
      <c r="J25" s="18"/>
      <c r="K25" s="18"/>
      <c r="L25" s="4" t="s">
        <v>89</v>
      </c>
      <c r="M25" s="27" t="s">
        <v>221</v>
      </c>
      <c r="N25" s="1" t="s">
        <v>30</v>
      </c>
    </row>
    <row r="26" spans="1:14" ht="316.8">
      <c r="B26" s="1" t="s">
        <v>201</v>
      </c>
      <c r="C26" s="15">
        <v>25</v>
      </c>
      <c r="D26" s="10" t="s">
        <v>196</v>
      </c>
      <c r="E26" s="3" t="s">
        <v>56</v>
      </c>
      <c r="F26" s="3" t="s">
        <v>16</v>
      </c>
      <c r="G26" s="3" t="s">
        <v>86</v>
      </c>
      <c r="H26" s="9" t="s">
        <v>87</v>
      </c>
      <c r="I26" s="3"/>
      <c r="J26" s="3"/>
      <c r="K26" s="3"/>
      <c r="L26" s="4" t="s">
        <v>89</v>
      </c>
      <c r="M26" s="106" t="s">
        <v>222</v>
      </c>
      <c r="N26"/>
    </row>
    <row r="27" spans="1:14" ht="374.4">
      <c r="B27" s="1" t="s">
        <v>203</v>
      </c>
      <c r="C27" s="15">
        <v>26</v>
      </c>
      <c r="D27" s="10" t="s">
        <v>138</v>
      </c>
      <c r="E27" s="3" t="s">
        <v>56</v>
      </c>
      <c r="F27" s="3" t="s">
        <v>16</v>
      </c>
      <c r="G27" s="3" t="s">
        <v>86</v>
      </c>
      <c r="H27" s="9" t="s">
        <v>102</v>
      </c>
      <c r="I27" s="3"/>
      <c r="J27" s="3"/>
      <c r="K27" s="3"/>
      <c r="L27" s="4" t="s">
        <v>89</v>
      </c>
      <c r="M27" s="27" t="s">
        <v>223</v>
      </c>
    </row>
    <row r="28" spans="1:14" ht="374.4">
      <c r="B28" s="1" t="s">
        <v>130</v>
      </c>
      <c r="C28" s="15">
        <v>27</v>
      </c>
      <c r="D28" s="10" t="s">
        <v>141</v>
      </c>
      <c r="E28" s="3" t="s">
        <v>56</v>
      </c>
      <c r="F28" s="3" t="s">
        <v>16</v>
      </c>
      <c r="G28" s="3" t="s">
        <v>107</v>
      </c>
      <c r="H28" s="9" t="s">
        <v>102</v>
      </c>
      <c r="I28" s="3"/>
      <c r="J28" s="3"/>
      <c r="K28" s="3"/>
      <c r="L28" s="4" t="s">
        <v>89</v>
      </c>
      <c r="M28" s="17" t="s">
        <v>224</v>
      </c>
      <c r="N28" s="1" t="s">
        <v>30</v>
      </c>
    </row>
    <row r="29" spans="1:14" ht="374.4">
      <c r="A29" s="11"/>
      <c r="B29" s="1" t="s">
        <v>201</v>
      </c>
      <c r="C29" s="15">
        <v>28</v>
      </c>
      <c r="D29" s="10" t="s">
        <v>142</v>
      </c>
      <c r="E29" s="3" t="s">
        <v>56</v>
      </c>
      <c r="F29" s="3" t="s">
        <v>16</v>
      </c>
      <c r="G29" s="3" t="s">
        <v>107</v>
      </c>
      <c r="H29" s="9" t="s">
        <v>102</v>
      </c>
      <c r="I29" s="3"/>
      <c r="J29" s="3"/>
      <c r="K29" s="3"/>
      <c r="L29" s="4" t="s">
        <v>89</v>
      </c>
      <c r="M29" s="106" t="s">
        <v>225</v>
      </c>
    </row>
    <row r="30" spans="1:14" ht="374.4">
      <c r="A30" s="11"/>
      <c r="B30" s="1" t="s">
        <v>203</v>
      </c>
      <c r="C30" s="15">
        <v>29</v>
      </c>
      <c r="D30" s="10" t="s">
        <v>146</v>
      </c>
      <c r="E30" s="3" t="s">
        <v>56</v>
      </c>
      <c r="F30" s="3" t="s">
        <v>16</v>
      </c>
      <c r="G30" s="3" t="s">
        <v>107</v>
      </c>
      <c r="H30" s="9" t="s">
        <v>102</v>
      </c>
      <c r="I30" s="3"/>
      <c r="J30" s="3"/>
      <c r="K30" s="3"/>
      <c r="L30" s="4" t="s">
        <v>89</v>
      </c>
      <c r="M30" s="27" t="s">
        <v>226</v>
      </c>
    </row>
    <row r="31" spans="1:14" ht="230.4" hidden="1">
      <c r="B31" s="94"/>
      <c r="C31" s="97">
        <v>30</v>
      </c>
      <c r="D31" s="12" t="s">
        <v>46</v>
      </c>
      <c r="E31" s="13" t="s">
        <v>56</v>
      </c>
      <c r="F31" s="13" t="s">
        <v>16</v>
      </c>
      <c r="G31" s="13" t="s">
        <v>63</v>
      </c>
      <c r="H31" s="9" t="s">
        <v>18</v>
      </c>
      <c r="I31" s="3"/>
      <c r="J31" s="3"/>
      <c r="K31" s="3"/>
      <c r="L31" s="4" t="s">
        <v>64</v>
      </c>
      <c r="M31" s="3"/>
    </row>
    <row r="32" spans="1:14" ht="230.4">
      <c r="A32" s="11"/>
      <c r="B32" s="1" t="s">
        <v>130</v>
      </c>
      <c r="C32" s="15">
        <v>31</v>
      </c>
      <c r="D32" s="3" t="s">
        <v>47</v>
      </c>
      <c r="E32" s="3" t="s">
        <v>56</v>
      </c>
      <c r="F32" s="3" t="s">
        <v>16</v>
      </c>
      <c r="G32" s="3" t="s">
        <v>149</v>
      </c>
      <c r="H32" s="9" t="s">
        <v>18</v>
      </c>
      <c r="I32" s="3"/>
      <c r="J32" s="3"/>
      <c r="K32" s="3"/>
      <c r="L32" s="4" t="s">
        <v>151</v>
      </c>
      <c r="M32" s="27" t="s">
        <v>227</v>
      </c>
      <c r="N32" s="1" t="s">
        <v>30</v>
      </c>
    </row>
    <row r="33" spans="1:13" ht="230.4">
      <c r="A33" s="11"/>
      <c r="B33" s="1" t="s">
        <v>201</v>
      </c>
      <c r="C33" s="15">
        <v>32</v>
      </c>
      <c r="D33" s="3" t="s">
        <v>49</v>
      </c>
      <c r="E33" s="3" t="s">
        <v>56</v>
      </c>
      <c r="F33" s="3" t="s">
        <v>16</v>
      </c>
      <c r="G33" s="3" t="s">
        <v>63</v>
      </c>
      <c r="H33" s="9" t="s">
        <v>18</v>
      </c>
      <c r="I33" s="3"/>
      <c r="J33" s="3"/>
      <c r="K33" s="3"/>
      <c r="L33" s="4" t="s">
        <v>154</v>
      </c>
      <c r="M33" s="106" t="s">
        <v>228</v>
      </c>
    </row>
  </sheetData>
  <autoFilter ref="A1:M33" xr:uid="{DCB37448-7794-4D71-83D8-79D0F3D93892}">
    <filterColumn colId="2">
      <colorFilter dxfId="5"/>
    </filterColumn>
  </autoFilter>
  <hyperlinks>
    <hyperlink ref="L2" r:id="rId1" xr:uid="{470BCF37-193A-40D3-8C10-9DB78FEFE864}"/>
    <hyperlink ref="L3:L5" r:id="rId2" display="https://app.clickup.com/t/8499449/APP-250" xr:uid="{CC362D88-4CCD-44E7-A700-6CE15F6C522D}"/>
    <hyperlink ref="L6" r:id="rId3" display="https://app.clickup.com/t/8499449/APP-250" xr:uid="{CC2392A9-E368-467F-B3BE-941E7FB14B94}"/>
    <hyperlink ref="L7:L12" r:id="rId4" display="https://app.clickup.com/t/8499449/APP-250" xr:uid="{F1CAC07F-B54A-4322-AD1F-A061ACB60D03}"/>
    <hyperlink ref="L16" r:id="rId5" display="https://app.clickup.com/t/8499449/APP-250" xr:uid="{F05FDB46-30C9-4B3C-B8ED-7B9C23940DEB}"/>
    <hyperlink ref="L8" r:id="rId6" display="https://app.clickup.com/t/8499449/APP-250" xr:uid="{5605E837-808C-4114-BBC9-5F12F1194E0A}"/>
    <hyperlink ref="L9" r:id="rId7" display="https://app.clickup.com/t/8499449/APP-250" xr:uid="{218F1A93-8C01-4E11-88D5-70E2C26BA7BC}"/>
    <hyperlink ref="L10" r:id="rId8" display="https://app.clickup.com/t/8499449/APP-250" xr:uid="{372FA9BC-443F-46D6-A265-ACC84A511590}"/>
    <hyperlink ref="L11" r:id="rId9" display="https://app.clickup.com/t/8499449/APP-250" xr:uid="{2FF07879-5DAB-4DF8-983C-F23064DAB012}"/>
    <hyperlink ref="L13" r:id="rId10" display="https://app.clickup.com/t/8499449/APP-250" xr:uid="{0E3F693E-F8E5-4A63-B361-C7502F56A715}"/>
    <hyperlink ref="L14" r:id="rId11" display="https://app.clickup.com/t/8499449/APP-250" xr:uid="{2CA84DCF-75C4-47BC-B31B-E66B4B64B07A}"/>
    <hyperlink ref="L15" r:id="rId12" display="https://app.clickup.com/t/8499449/APP-250" xr:uid="{2B50C7E0-513A-474B-BBF5-39BD12FDAB56}"/>
    <hyperlink ref="L17:L19" r:id="rId13" display="https://app.clickup.com/t/8499449/APP-250" xr:uid="{725EE6A2-1814-4D89-A107-1BDC7BE626AE}"/>
    <hyperlink ref="L20" r:id="rId14" display="https://app.clickup.com/t/8499449/APP-250" xr:uid="{17388C97-3A48-4D53-9569-4EDDFD85F172}"/>
    <hyperlink ref="L21:L27" r:id="rId15" display="https://app.clickup.com/t/8499449/APP-250" xr:uid="{304832E2-826D-432C-A610-B9A190DE9141}"/>
    <hyperlink ref="L31" r:id="rId16" display="https://app.clickup.com/t/8499449/APP-250" xr:uid="{FE999A12-CED7-4E69-9CB0-4B7E83233940}"/>
    <hyperlink ref="L23" r:id="rId17" display="https://app.clickup.com/t/8499449/APP-250" xr:uid="{AFA40CA8-6E70-4496-A86E-2C82235CF7C8}"/>
    <hyperlink ref="L24" r:id="rId18" display="https://app.clickup.com/t/8499449/APP-250" xr:uid="{82BB9D19-F84D-4550-B1A4-59D556222F41}"/>
    <hyperlink ref="L25" r:id="rId19" display="https://app.clickup.com/t/8499449/APP-250" xr:uid="{8975D21C-49F8-4520-BFB2-71357DD864F7}"/>
    <hyperlink ref="L26" r:id="rId20" display="https://app.clickup.com/t/8499449/APP-250" xr:uid="{947A25FB-5C0C-4195-A151-BEF39C85C5E8}"/>
    <hyperlink ref="L28" r:id="rId21" display="https://app.clickup.com/t/8499449/APP-250" xr:uid="{6FA14A35-7864-432A-A68F-B4609C8DA0BA}"/>
    <hyperlink ref="L29" r:id="rId22" display="https://app.clickup.com/t/8499449/APP-250" xr:uid="{8AE82A60-ECC4-4079-9C73-0D5AB74ED23B}"/>
    <hyperlink ref="L30" r:id="rId23" display="https://app.clickup.com/t/8499449/APP-250" xr:uid="{31B9B108-9B5F-45AB-A2C3-65DC0F1ABA0D}"/>
    <hyperlink ref="L32" r:id="rId24" display="https://app.clickup.com/t/8499449/APP-250" xr:uid="{F1DBC473-DAA4-40F8-8978-BF7587684858}"/>
    <hyperlink ref="L33" r:id="rId25" display="https://app.clickup.com/t/8499449/APP-250" xr:uid="{62ACCADE-D78A-48EC-94C8-A35352EB02C7}"/>
    <hyperlink ref="M7" r:id="rId26" xr:uid="{F66CB57B-8C2D-4BDF-A539-E33747851BA3}"/>
    <hyperlink ref="M10" r:id="rId27" xr:uid="{7EBB1875-EC96-4611-994B-3644AFBC7668}"/>
    <hyperlink ref="M2" r:id="rId28" xr:uid="{5CE37F2B-9365-4AE1-8684-48BAB9DA24C0}"/>
    <hyperlink ref="M13" r:id="rId29" xr:uid="{72CFD610-90F9-43C4-8979-FFA5723CA92A}"/>
    <hyperlink ref="M12" r:id="rId30" xr:uid="{81C7905D-324D-48E0-81A6-F2E6F78BA03B}"/>
    <hyperlink ref="M21" r:id="rId31" xr:uid="{43A5E94A-EED9-45D5-85C0-71A125C4A5E1}"/>
    <hyperlink ref="M24" r:id="rId32" xr:uid="{07491961-FD9A-4FCB-9895-49E0EA8FC336}"/>
    <hyperlink ref="M15" r:id="rId33" xr:uid="{5BE4782B-BEDA-4EFF-B567-B79594BC0E6F}"/>
    <hyperlink ref="M23" r:id="rId34" xr:uid="{7D110252-6550-487C-863C-BD1B527AB9DC}"/>
    <hyperlink ref="M11" r:id="rId35" xr:uid="{DA167FE0-9355-4146-A976-492EC32BE2D1}"/>
    <hyperlink ref="M26" r:id="rId36" xr:uid="{CB1AA27B-73F8-4C5B-8F92-DF67D63F14B5}"/>
    <hyperlink ref="M27" r:id="rId37" xr:uid="{4BAA0168-3362-4B4F-9897-63830E7A8E48}"/>
    <hyperlink ref="M30" r:id="rId38" xr:uid="{D11BAA54-8B10-467C-AAAF-B4FD94BDFACA}"/>
    <hyperlink ref="M29" r:id="rId39" xr:uid="{E3423036-42F5-48D7-9C3E-D7777374C7E9}"/>
    <hyperlink ref="M14" r:id="rId40" xr:uid="{A170D93F-5F8F-4F00-B658-1304334CB309}"/>
    <hyperlink ref="M22" r:id="rId41" xr:uid="{5D6E61A2-CFBB-4C17-BC48-B647BE11E0F3}"/>
    <hyperlink ref="M33" r:id="rId42" xr:uid="{3E034338-3184-4083-8925-6C0F42571427}"/>
    <hyperlink ref="M25" r:id="rId43" xr:uid="{E8C5B17E-D07D-401F-81B6-F5AAE92904B8}"/>
    <hyperlink ref="M28" r:id="rId44" xr:uid="{BCE3053C-135B-4E49-B8F2-A6DD280F748D}"/>
    <hyperlink ref="M32" r:id="rId45" xr:uid="{13BE2693-3ABB-4220-8158-FD53AEE61EA1}"/>
    <hyperlink ref="M9" r:id="rId46" xr:uid="{2919E469-BED5-4BD0-96F7-CEBF67623E90}"/>
    <hyperlink ref="M8" r:id="rId47" xr:uid="{E9093C2F-9E95-4622-9AB5-2B22E0AAC24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87DEE-8A67-4F56-AB92-709EFA44E565}">
  <sheetPr filterMode="1"/>
  <dimension ref="A1:N33"/>
  <sheetViews>
    <sheetView workbookViewId="0">
      <pane ySplit="1" topLeftCell="A2" activePane="bottomLeft" state="frozen"/>
      <selection pane="bottomLeft" activeCell="M2" sqref="M2"/>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5">
        <v>1</v>
      </c>
      <c r="D2" s="3" t="s">
        <v>10</v>
      </c>
      <c r="E2" s="3" t="s">
        <v>56</v>
      </c>
      <c r="F2" s="3" t="s">
        <v>12</v>
      </c>
      <c r="G2" s="3" t="s">
        <v>57</v>
      </c>
      <c r="H2" s="100" t="s">
        <v>14</v>
      </c>
      <c r="I2" s="3" t="s">
        <v>30</v>
      </c>
      <c r="J2" s="15" t="s">
        <v>59</v>
      </c>
      <c r="K2" s="3"/>
      <c r="L2" s="4" t="s">
        <v>60</v>
      </c>
      <c r="M2" s="106" t="s">
        <v>202</v>
      </c>
    </row>
    <row r="3" spans="1:14" ht="230.4" hidden="1">
      <c r="A3" s="11" t="s">
        <v>54</v>
      </c>
      <c r="B3" s="94"/>
      <c r="C3" s="19">
        <v>2</v>
      </c>
      <c r="D3" s="7" t="s">
        <v>15</v>
      </c>
      <c r="E3" s="3" t="s">
        <v>56</v>
      </c>
      <c r="F3" s="3" t="s">
        <v>16</v>
      </c>
      <c r="G3" s="3" t="s">
        <v>63</v>
      </c>
      <c r="H3" s="9" t="s">
        <v>18</v>
      </c>
      <c r="J3" s="105" t="s">
        <v>229</v>
      </c>
      <c r="K3" s="3"/>
      <c r="L3" s="4" t="s">
        <v>64</v>
      </c>
      <c r="M3" s="3"/>
    </row>
    <row r="4" spans="1:14" ht="230.4" hidden="1">
      <c r="A4" s="1" t="s">
        <v>54</v>
      </c>
      <c r="B4" s="94"/>
      <c r="C4" s="19">
        <v>3</v>
      </c>
      <c r="D4" s="7" t="s">
        <v>65</v>
      </c>
      <c r="E4" s="3" t="s">
        <v>56</v>
      </c>
      <c r="F4" s="3" t="s">
        <v>16</v>
      </c>
      <c r="G4" s="3" t="s">
        <v>66</v>
      </c>
      <c r="H4" s="9" t="s">
        <v>40</v>
      </c>
      <c r="J4" s="105" t="s">
        <v>229</v>
      </c>
      <c r="K4" s="3"/>
      <c r="L4" s="4" t="s">
        <v>67</v>
      </c>
      <c r="M4" s="3"/>
    </row>
    <row r="5" spans="1:14" ht="244.8" hidden="1">
      <c r="A5" s="1" t="s">
        <v>54</v>
      </c>
      <c r="B5" s="94" t="s">
        <v>68</v>
      </c>
      <c r="C5" s="19">
        <v>4</v>
      </c>
      <c r="D5" s="7" t="s">
        <v>69</v>
      </c>
      <c r="E5" s="3" t="s">
        <v>56</v>
      </c>
      <c r="F5" s="3" t="s">
        <v>16</v>
      </c>
      <c r="G5" s="3" t="s">
        <v>70</v>
      </c>
      <c r="H5" s="9" t="s">
        <v>42</v>
      </c>
      <c r="J5" s="105" t="s">
        <v>229</v>
      </c>
      <c r="K5" s="3"/>
      <c r="L5" s="4" t="s">
        <v>71</v>
      </c>
      <c r="M5" s="3"/>
    </row>
    <row r="6" spans="1:14" ht="230.4" hidden="1">
      <c r="A6" s="11" t="s">
        <v>54</v>
      </c>
      <c r="B6" s="94"/>
      <c r="C6" s="19">
        <v>5</v>
      </c>
      <c r="D6" s="7" t="s">
        <v>72</v>
      </c>
      <c r="E6" s="3" t="s">
        <v>56</v>
      </c>
      <c r="F6" s="3" t="s">
        <v>16</v>
      </c>
      <c r="G6" s="3" t="s">
        <v>73</v>
      </c>
      <c r="H6" s="9" t="s">
        <v>74</v>
      </c>
      <c r="J6" s="105" t="s">
        <v>229</v>
      </c>
      <c r="K6" s="3"/>
      <c r="L6" s="4" t="s">
        <v>75</v>
      </c>
      <c r="M6" s="3"/>
    </row>
    <row r="7" spans="1:14" ht="201.6">
      <c r="A7" s="1" t="s">
        <v>54</v>
      </c>
      <c r="B7" s="1" t="s">
        <v>203</v>
      </c>
      <c r="C7" s="15">
        <v>6</v>
      </c>
      <c r="D7" s="7" t="s">
        <v>77</v>
      </c>
      <c r="E7" s="3" t="s">
        <v>56</v>
      </c>
      <c r="F7" s="3" t="s">
        <v>16</v>
      </c>
      <c r="G7" s="3" t="s">
        <v>78</v>
      </c>
      <c r="H7" s="100" t="s">
        <v>23</v>
      </c>
      <c r="I7" s="3" t="s">
        <v>30</v>
      </c>
      <c r="J7" s="15" t="s">
        <v>59</v>
      </c>
      <c r="K7" s="3"/>
      <c r="L7" s="4" t="s">
        <v>82</v>
      </c>
      <c r="M7" s="27" t="s">
        <v>204</v>
      </c>
    </row>
    <row r="8" spans="1:14" ht="316.8">
      <c r="A8" s="11" t="s">
        <v>54</v>
      </c>
      <c r="B8" s="1" t="s">
        <v>130</v>
      </c>
      <c r="C8" s="15">
        <v>7</v>
      </c>
      <c r="D8" s="7" t="s">
        <v>85</v>
      </c>
      <c r="E8" s="3" t="s">
        <v>56</v>
      </c>
      <c r="F8" s="3" t="s">
        <v>16</v>
      </c>
      <c r="G8" s="3" t="s">
        <v>86</v>
      </c>
      <c r="H8" s="100" t="s">
        <v>87</v>
      </c>
      <c r="I8" s="3" t="s">
        <v>30</v>
      </c>
      <c r="J8" s="15" t="s">
        <v>59</v>
      </c>
      <c r="K8" s="3"/>
      <c r="L8" s="99" t="s">
        <v>89</v>
      </c>
      <c r="M8" s="17" t="s">
        <v>230</v>
      </c>
      <c r="N8" s="1" t="s">
        <v>160</v>
      </c>
    </row>
    <row r="9" spans="1:14" ht="316.8">
      <c r="A9" s="1" t="s">
        <v>54</v>
      </c>
      <c r="B9" s="1" t="s">
        <v>201</v>
      </c>
      <c r="C9" s="15">
        <v>8</v>
      </c>
      <c r="D9" s="7" t="s">
        <v>92</v>
      </c>
      <c r="E9" s="3" t="s">
        <v>56</v>
      </c>
      <c r="F9" s="3" t="s">
        <v>16</v>
      </c>
      <c r="G9" s="3" t="s">
        <v>86</v>
      </c>
      <c r="H9" s="100" t="s">
        <v>87</v>
      </c>
      <c r="I9" s="3" t="s">
        <v>30</v>
      </c>
      <c r="J9" s="101" t="s">
        <v>59</v>
      </c>
      <c r="K9" s="3"/>
      <c r="L9" s="4" t="s">
        <v>89</v>
      </c>
      <c r="M9" s="106" t="s">
        <v>231</v>
      </c>
      <c r="N9" s="1" t="s">
        <v>189</v>
      </c>
    </row>
    <row r="10" spans="1:14" ht="316.8">
      <c r="A10" s="11" t="s">
        <v>54</v>
      </c>
      <c r="B10" s="1" t="s">
        <v>203</v>
      </c>
      <c r="C10" s="15">
        <v>9</v>
      </c>
      <c r="D10" s="7" t="s">
        <v>96</v>
      </c>
      <c r="E10" s="3" t="s">
        <v>56</v>
      </c>
      <c r="F10" s="3" t="s">
        <v>16</v>
      </c>
      <c r="G10" s="3" t="s">
        <v>86</v>
      </c>
      <c r="H10" s="100" t="s">
        <v>87</v>
      </c>
      <c r="I10" s="3" t="s">
        <v>30</v>
      </c>
      <c r="J10" s="15" t="s">
        <v>59</v>
      </c>
      <c r="K10" s="3"/>
      <c r="L10" s="4" t="s">
        <v>89</v>
      </c>
      <c r="M10" s="27" t="s">
        <v>210</v>
      </c>
      <c r="N10" s="27"/>
    </row>
    <row r="11" spans="1:14" ht="316.8">
      <c r="A11" s="1" t="s">
        <v>54</v>
      </c>
      <c r="B11" s="1" t="s">
        <v>130</v>
      </c>
      <c r="C11" s="15">
        <v>10</v>
      </c>
      <c r="D11" s="7" t="s">
        <v>98</v>
      </c>
      <c r="E11" s="3" t="s">
        <v>56</v>
      </c>
      <c r="F11" s="3" t="s">
        <v>16</v>
      </c>
      <c r="G11" s="3" t="s">
        <v>86</v>
      </c>
      <c r="H11" s="9" t="s">
        <v>87</v>
      </c>
      <c r="I11" s="3" t="s">
        <v>30</v>
      </c>
      <c r="J11" s="15" t="s">
        <v>59</v>
      </c>
      <c r="K11" s="3"/>
      <c r="L11" s="4" t="s">
        <v>89</v>
      </c>
      <c r="M11" s="27" t="s">
        <v>211</v>
      </c>
      <c r="N11" s="1" t="s">
        <v>160</v>
      </c>
    </row>
    <row r="12" spans="1:14" ht="374.4">
      <c r="A12" s="11" t="s">
        <v>100</v>
      </c>
      <c r="B12" s="1" t="s">
        <v>201</v>
      </c>
      <c r="C12" s="15">
        <v>11</v>
      </c>
      <c r="D12" s="7" t="s">
        <v>101</v>
      </c>
      <c r="E12" s="3" t="s">
        <v>56</v>
      </c>
      <c r="F12" s="3" t="s">
        <v>16</v>
      </c>
      <c r="G12" s="3" t="s">
        <v>86</v>
      </c>
      <c r="H12" s="9" t="s">
        <v>102</v>
      </c>
      <c r="I12" s="14" t="s">
        <v>30</v>
      </c>
      <c r="J12" s="98" t="s">
        <v>59</v>
      </c>
      <c r="K12" s="27"/>
      <c r="L12" s="4" t="s">
        <v>89</v>
      </c>
      <c r="M12" s="106" t="s">
        <v>212</v>
      </c>
      <c r="N12" s="1" t="s">
        <v>189</v>
      </c>
    </row>
    <row r="13" spans="1:14" ht="374.4">
      <c r="A13" s="11" t="s">
        <v>54</v>
      </c>
      <c r="B13" s="1" t="s">
        <v>203</v>
      </c>
      <c r="C13" s="15">
        <v>12</v>
      </c>
      <c r="D13" s="7" t="s">
        <v>106</v>
      </c>
      <c r="E13" s="3" t="s">
        <v>56</v>
      </c>
      <c r="F13" s="3" t="s">
        <v>16</v>
      </c>
      <c r="G13" s="3" t="s">
        <v>107</v>
      </c>
      <c r="H13" s="9" t="s">
        <v>102</v>
      </c>
      <c r="I13" s="3" t="s">
        <v>30</v>
      </c>
      <c r="J13" s="15" t="s">
        <v>59</v>
      </c>
      <c r="K13" s="3"/>
      <c r="L13" s="4" t="s">
        <v>89</v>
      </c>
      <c r="M13" s="27" t="s">
        <v>213</v>
      </c>
    </row>
    <row r="14" spans="1:14" ht="374.4">
      <c r="A14" s="1" t="s">
        <v>54</v>
      </c>
      <c r="B14" s="1" t="s">
        <v>130</v>
      </c>
      <c r="C14" s="15">
        <v>13</v>
      </c>
      <c r="D14" s="7" t="s">
        <v>108</v>
      </c>
      <c r="E14" s="3" t="s">
        <v>56</v>
      </c>
      <c r="F14" s="3" t="s">
        <v>16</v>
      </c>
      <c r="G14" s="3" t="s">
        <v>107</v>
      </c>
      <c r="H14" s="9" t="s">
        <v>102</v>
      </c>
      <c r="I14" s="3" t="s">
        <v>30</v>
      </c>
      <c r="J14" s="15" t="s">
        <v>59</v>
      </c>
      <c r="K14" s="3"/>
      <c r="L14" s="4" t="s">
        <v>89</v>
      </c>
      <c r="M14" s="27" t="s">
        <v>214</v>
      </c>
      <c r="N14" s="1" t="s">
        <v>160</v>
      </c>
    </row>
    <row r="15" spans="1:14" ht="374.4">
      <c r="A15" s="1" t="s">
        <v>100</v>
      </c>
      <c r="B15" s="1" t="s">
        <v>201</v>
      </c>
      <c r="C15" s="15">
        <v>14</v>
      </c>
      <c r="D15" s="7" t="s">
        <v>113</v>
      </c>
      <c r="E15" s="3" t="s">
        <v>56</v>
      </c>
      <c r="F15" s="3" t="s">
        <v>16</v>
      </c>
      <c r="G15" s="3" t="s">
        <v>107</v>
      </c>
      <c r="H15" s="9" t="s">
        <v>102</v>
      </c>
      <c r="I15" s="3" t="s">
        <v>30</v>
      </c>
      <c r="J15" s="101" t="s">
        <v>59</v>
      </c>
      <c r="K15" s="18"/>
      <c r="L15" s="4" t="s">
        <v>89</v>
      </c>
      <c r="M15" s="106" t="s">
        <v>215</v>
      </c>
      <c r="N15" s="1" t="s">
        <v>189</v>
      </c>
    </row>
    <row r="16" spans="1:14" ht="230.4" hidden="1">
      <c r="B16" s="94"/>
      <c r="C16" s="19">
        <v>15</v>
      </c>
      <c r="D16" s="7" t="s">
        <v>33</v>
      </c>
      <c r="E16" s="3" t="s">
        <v>56</v>
      </c>
      <c r="F16" s="3" t="s">
        <v>16</v>
      </c>
      <c r="G16" s="3" t="s">
        <v>63</v>
      </c>
      <c r="H16" s="9" t="s">
        <v>18</v>
      </c>
      <c r="I16" s="3"/>
      <c r="J16" s="105" t="s">
        <v>229</v>
      </c>
      <c r="K16" s="3"/>
      <c r="L16" s="4" t="s">
        <v>64</v>
      </c>
      <c r="M16" s="3"/>
    </row>
    <row r="17" spans="1:14" ht="230.4" hidden="1">
      <c r="B17" s="94"/>
      <c r="C17" s="19">
        <v>16</v>
      </c>
      <c r="D17" s="10" t="s">
        <v>35</v>
      </c>
      <c r="E17" s="3" t="s">
        <v>56</v>
      </c>
      <c r="F17" s="3" t="s">
        <v>16</v>
      </c>
      <c r="G17" s="3" t="s">
        <v>63</v>
      </c>
      <c r="H17" s="9" t="s">
        <v>18</v>
      </c>
      <c r="I17" s="3"/>
      <c r="J17" s="105" t="s">
        <v>229</v>
      </c>
      <c r="K17" s="3"/>
      <c r="L17" s="4" t="s">
        <v>64</v>
      </c>
      <c r="M17" s="3"/>
    </row>
    <row r="18" spans="1:14" ht="230.4" hidden="1">
      <c r="A18" s="11"/>
      <c r="B18" s="94"/>
      <c r="C18" s="19">
        <v>17</v>
      </c>
      <c r="D18" s="10" t="s">
        <v>115</v>
      </c>
      <c r="E18" s="3" t="s">
        <v>56</v>
      </c>
      <c r="F18" s="3" t="s">
        <v>16</v>
      </c>
      <c r="G18" s="3" t="s">
        <v>66</v>
      </c>
      <c r="H18" s="9" t="s">
        <v>40</v>
      </c>
      <c r="I18" s="3"/>
      <c r="J18" s="105" t="s">
        <v>229</v>
      </c>
      <c r="K18" s="3"/>
      <c r="L18" s="4" t="s">
        <v>67</v>
      </c>
      <c r="M18" s="3"/>
    </row>
    <row r="19" spans="1:14" ht="244.8" hidden="1">
      <c r="A19" s="11"/>
      <c r="B19" s="94" t="s">
        <v>116</v>
      </c>
      <c r="C19" s="19">
        <v>18</v>
      </c>
      <c r="D19" s="10" t="s">
        <v>117</v>
      </c>
      <c r="E19" s="3" t="s">
        <v>56</v>
      </c>
      <c r="F19" s="3" t="s">
        <v>16</v>
      </c>
      <c r="G19" s="3" t="s">
        <v>70</v>
      </c>
      <c r="H19" s="9" t="s">
        <v>42</v>
      </c>
      <c r="I19" s="3" t="s">
        <v>118</v>
      </c>
      <c r="J19" s="105" t="s">
        <v>229</v>
      </c>
      <c r="K19" s="3"/>
      <c r="L19" s="4" t="s">
        <v>71</v>
      </c>
      <c r="M19" s="3"/>
    </row>
    <row r="20" spans="1:14" ht="230.4" hidden="1">
      <c r="B20" s="94"/>
      <c r="C20" s="19">
        <v>19</v>
      </c>
      <c r="D20" s="10" t="s">
        <v>119</v>
      </c>
      <c r="E20" s="3" t="s">
        <v>56</v>
      </c>
      <c r="F20" s="3" t="s">
        <v>16</v>
      </c>
      <c r="G20" s="3" t="s">
        <v>73</v>
      </c>
      <c r="H20" s="9" t="s">
        <v>74</v>
      </c>
      <c r="I20" s="3"/>
      <c r="J20" s="105" t="s">
        <v>229</v>
      </c>
      <c r="K20" s="3"/>
      <c r="L20" s="4" t="s">
        <v>75</v>
      </c>
      <c r="M20" s="3"/>
    </row>
    <row r="21" spans="1:14" ht="201.6">
      <c r="A21" s="1" t="s">
        <v>100</v>
      </c>
      <c r="B21" s="1" t="s">
        <v>203</v>
      </c>
      <c r="C21" s="15">
        <v>20</v>
      </c>
      <c r="D21" s="10" t="s">
        <v>120</v>
      </c>
      <c r="E21" s="3" t="s">
        <v>56</v>
      </c>
      <c r="F21" s="3" t="s">
        <v>16</v>
      </c>
      <c r="G21" s="3" t="s">
        <v>78</v>
      </c>
      <c r="H21" s="9" t="s">
        <v>23</v>
      </c>
      <c r="I21" s="3" t="s">
        <v>30</v>
      </c>
      <c r="J21" s="15" t="s">
        <v>59</v>
      </c>
      <c r="K21" s="24"/>
      <c r="L21" s="4" t="s">
        <v>82</v>
      </c>
      <c r="M21" s="27" t="s">
        <v>216</v>
      </c>
    </row>
    <row r="22" spans="1:14" ht="201.6">
      <c r="B22" s="1" t="s">
        <v>130</v>
      </c>
      <c r="C22" s="15">
        <v>21</v>
      </c>
      <c r="D22" s="10" t="s">
        <v>120</v>
      </c>
      <c r="E22" s="3" t="s">
        <v>56</v>
      </c>
      <c r="F22" s="3" t="s">
        <v>16</v>
      </c>
      <c r="G22" s="3" t="s">
        <v>78</v>
      </c>
      <c r="H22" s="9" t="s">
        <v>23</v>
      </c>
      <c r="I22" s="3" t="s">
        <v>30</v>
      </c>
      <c r="J22" s="15" t="s">
        <v>59</v>
      </c>
      <c r="K22" s="3"/>
      <c r="L22" s="4" t="s">
        <v>193</v>
      </c>
      <c r="M22" s="27" t="s">
        <v>217</v>
      </c>
      <c r="N22" s="1" t="s">
        <v>30</v>
      </c>
    </row>
    <row r="23" spans="1:14" ht="316.8">
      <c r="B23" s="1" t="s">
        <v>201</v>
      </c>
      <c r="C23" s="15">
        <v>22</v>
      </c>
      <c r="D23" s="10" t="s">
        <v>124</v>
      </c>
      <c r="E23" s="3" t="s">
        <v>56</v>
      </c>
      <c r="F23" s="3" t="s">
        <v>16</v>
      </c>
      <c r="G23" s="3" t="s">
        <v>86</v>
      </c>
      <c r="H23" s="9" t="s">
        <v>87</v>
      </c>
      <c r="I23" s="3" t="s">
        <v>30</v>
      </c>
      <c r="J23" s="101" t="s">
        <v>59</v>
      </c>
      <c r="K23" s="3"/>
      <c r="L23" s="4" t="s">
        <v>89</v>
      </c>
      <c r="M23" s="106" t="s">
        <v>218</v>
      </c>
      <c r="N23" s="1" t="s">
        <v>189</v>
      </c>
    </row>
    <row r="24" spans="1:14" ht="316.8">
      <c r="A24" s="11"/>
      <c r="B24" s="1" t="s">
        <v>203</v>
      </c>
      <c r="C24" s="15">
        <v>23</v>
      </c>
      <c r="D24" s="10" t="s">
        <v>128</v>
      </c>
      <c r="E24" s="3" t="s">
        <v>56</v>
      </c>
      <c r="F24" s="3" t="s">
        <v>16</v>
      </c>
      <c r="G24" s="3" t="s">
        <v>86</v>
      </c>
      <c r="H24" s="9" t="s">
        <v>87</v>
      </c>
      <c r="I24" s="3" t="s">
        <v>30</v>
      </c>
      <c r="J24" s="15" t="s">
        <v>59</v>
      </c>
      <c r="K24" s="3"/>
      <c r="L24" s="4" t="s">
        <v>89</v>
      </c>
      <c r="M24" s="27" t="s">
        <v>219</v>
      </c>
      <c r="N24" s="3"/>
    </row>
    <row r="25" spans="1:14" ht="316.8">
      <c r="A25" s="11" t="s">
        <v>130</v>
      </c>
      <c r="B25" s="1" t="s">
        <v>130</v>
      </c>
      <c r="C25" s="15">
        <v>24</v>
      </c>
      <c r="D25" s="10" t="s">
        <v>131</v>
      </c>
      <c r="E25" s="3" t="s">
        <v>56</v>
      </c>
      <c r="F25" s="3" t="s">
        <v>16</v>
      </c>
      <c r="G25" s="3" t="s">
        <v>86</v>
      </c>
      <c r="H25" s="9" t="s">
        <v>87</v>
      </c>
      <c r="I25" s="3" t="s">
        <v>30</v>
      </c>
      <c r="J25" s="15" t="s">
        <v>59</v>
      </c>
      <c r="K25" s="18"/>
      <c r="L25" s="4" t="s">
        <v>89</v>
      </c>
      <c r="M25" s="27" t="s">
        <v>221</v>
      </c>
      <c r="N25" s="1" t="s">
        <v>30</v>
      </c>
    </row>
    <row r="26" spans="1:14" ht="316.8">
      <c r="B26" s="1" t="s">
        <v>201</v>
      </c>
      <c r="C26" s="15">
        <v>25</v>
      </c>
      <c r="D26" s="10" t="s">
        <v>196</v>
      </c>
      <c r="E26" s="3" t="s">
        <v>56</v>
      </c>
      <c r="F26" s="3" t="s">
        <v>16</v>
      </c>
      <c r="G26" s="3" t="s">
        <v>86</v>
      </c>
      <c r="H26" s="9" t="s">
        <v>87</v>
      </c>
      <c r="I26" s="3" t="s">
        <v>30</v>
      </c>
      <c r="J26" s="15" t="s">
        <v>59</v>
      </c>
      <c r="K26" s="3"/>
      <c r="L26" s="4" t="s">
        <v>89</v>
      </c>
      <c r="M26" s="106" t="s">
        <v>222</v>
      </c>
      <c r="N26"/>
    </row>
    <row r="27" spans="1:14" ht="374.4">
      <c r="B27" s="1" t="s">
        <v>203</v>
      </c>
      <c r="C27" s="15">
        <v>26</v>
      </c>
      <c r="D27" s="10" t="s">
        <v>138</v>
      </c>
      <c r="E27" s="3" t="s">
        <v>56</v>
      </c>
      <c r="F27" s="3" t="s">
        <v>16</v>
      </c>
      <c r="G27" s="3" t="s">
        <v>86</v>
      </c>
      <c r="H27" s="9" t="s">
        <v>102</v>
      </c>
      <c r="I27" s="3" t="s">
        <v>30</v>
      </c>
      <c r="J27" s="15" t="s">
        <v>59</v>
      </c>
      <c r="K27" s="3"/>
      <c r="L27" s="4" t="s">
        <v>89</v>
      </c>
      <c r="M27" s="27" t="s">
        <v>223</v>
      </c>
    </row>
    <row r="28" spans="1:14" ht="374.4">
      <c r="B28" s="1" t="s">
        <v>130</v>
      </c>
      <c r="C28" s="15">
        <v>27</v>
      </c>
      <c r="D28" s="10" t="s">
        <v>141</v>
      </c>
      <c r="E28" s="3" t="s">
        <v>56</v>
      </c>
      <c r="F28" s="3" t="s">
        <v>16</v>
      </c>
      <c r="G28" s="3" t="s">
        <v>107</v>
      </c>
      <c r="H28" s="9" t="s">
        <v>102</v>
      </c>
      <c r="I28" s="3" t="s">
        <v>30</v>
      </c>
      <c r="J28" s="15" t="s">
        <v>59</v>
      </c>
      <c r="K28" s="3"/>
      <c r="L28" s="4" t="s">
        <v>89</v>
      </c>
      <c r="M28" s="17" t="s">
        <v>224</v>
      </c>
      <c r="N28" s="1" t="s">
        <v>30</v>
      </c>
    </row>
    <row r="29" spans="1:14" ht="374.4">
      <c r="A29" s="11"/>
      <c r="B29" s="1" t="s">
        <v>201</v>
      </c>
      <c r="C29" s="15">
        <v>28</v>
      </c>
      <c r="D29" s="10" t="s">
        <v>142</v>
      </c>
      <c r="E29" s="3" t="s">
        <v>56</v>
      </c>
      <c r="F29" s="3" t="s">
        <v>16</v>
      </c>
      <c r="G29" s="3" t="s">
        <v>107</v>
      </c>
      <c r="H29" s="9" t="s">
        <v>102</v>
      </c>
      <c r="I29" s="3" t="s">
        <v>30</v>
      </c>
      <c r="J29" s="101" t="s">
        <v>59</v>
      </c>
      <c r="K29" s="3"/>
      <c r="L29" s="4" t="s">
        <v>89</v>
      </c>
      <c r="M29" s="106" t="s">
        <v>225</v>
      </c>
    </row>
    <row r="30" spans="1:14" ht="374.4">
      <c r="A30" s="11"/>
      <c r="B30" s="1" t="s">
        <v>203</v>
      </c>
      <c r="C30" s="15">
        <v>29</v>
      </c>
      <c r="D30" s="10" t="s">
        <v>146</v>
      </c>
      <c r="E30" s="3" t="s">
        <v>56</v>
      </c>
      <c r="F30" s="3" t="s">
        <v>16</v>
      </c>
      <c r="G30" s="3" t="s">
        <v>107</v>
      </c>
      <c r="H30" s="9" t="s">
        <v>102</v>
      </c>
      <c r="I30" s="3" t="s">
        <v>30</v>
      </c>
      <c r="J30" s="15" t="s">
        <v>59</v>
      </c>
      <c r="K30" s="3"/>
      <c r="L30" s="4" t="s">
        <v>89</v>
      </c>
      <c r="M30" s="27" t="s">
        <v>226</v>
      </c>
    </row>
    <row r="31" spans="1:14" ht="230.4" hidden="1">
      <c r="B31" s="94"/>
      <c r="C31" s="97">
        <v>30</v>
      </c>
      <c r="D31" s="12" t="s">
        <v>46</v>
      </c>
      <c r="E31" s="13" t="s">
        <v>56</v>
      </c>
      <c r="F31" s="13" t="s">
        <v>16</v>
      </c>
      <c r="G31" s="13" t="s">
        <v>63</v>
      </c>
      <c r="H31" s="9" t="s">
        <v>18</v>
      </c>
      <c r="I31" s="3"/>
      <c r="J31" s="105" t="s">
        <v>229</v>
      </c>
      <c r="K31" s="3"/>
      <c r="L31" s="4" t="s">
        <v>64</v>
      </c>
      <c r="M31" s="3"/>
    </row>
    <row r="32" spans="1:14" ht="230.4">
      <c r="A32" s="11"/>
      <c r="B32" s="1" t="s">
        <v>130</v>
      </c>
      <c r="C32" s="15">
        <v>31</v>
      </c>
      <c r="D32" s="3" t="s">
        <v>47</v>
      </c>
      <c r="E32" s="3" t="s">
        <v>56</v>
      </c>
      <c r="F32" s="3" t="s">
        <v>16</v>
      </c>
      <c r="G32" s="3" t="s">
        <v>149</v>
      </c>
      <c r="H32" s="9" t="s">
        <v>18</v>
      </c>
      <c r="I32" s="3" t="s">
        <v>30</v>
      </c>
      <c r="J32" s="15" t="s">
        <v>59</v>
      </c>
      <c r="K32" s="3"/>
      <c r="L32" s="4" t="s">
        <v>151</v>
      </c>
      <c r="M32" s="27" t="s">
        <v>227</v>
      </c>
      <c r="N32" s="1" t="s">
        <v>30</v>
      </c>
    </row>
    <row r="33" spans="1:13" ht="230.4">
      <c r="A33" s="11"/>
      <c r="B33" s="1" t="s">
        <v>201</v>
      </c>
      <c r="C33" s="15">
        <v>32</v>
      </c>
      <c r="D33" s="3" t="s">
        <v>49</v>
      </c>
      <c r="E33" s="3" t="s">
        <v>56</v>
      </c>
      <c r="F33" s="3" t="s">
        <v>16</v>
      </c>
      <c r="G33" s="3" t="s">
        <v>63</v>
      </c>
      <c r="H33" s="9" t="s">
        <v>18</v>
      </c>
      <c r="I33" s="3" t="s">
        <v>30</v>
      </c>
      <c r="J33" s="101" t="s">
        <v>59</v>
      </c>
      <c r="K33" s="3"/>
      <c r="L33" s="4" t="s">
        <v>154</v>
      </c>
      <c r="M33" s="106" t="s">
        <v>228</v>
      </c>
    </row>
  </sheetData>
  <autoFilter ref="A1:M33" xr:uid="{DCB37448-7794-4D71-83D8-79D0F3D93892}">
    <filterColumn colId="2">
      <colorFilter dxfId="4"/>
    </filterColumn>
  </autoFilter>
  <hyperlinks>
    <hyperlink ref="L2" r:id="rId1" xr:uid="{5B634DB3-BCAC-4376-B247-0FDBD7503F3E}"/>
    <hyperlink ref="L3:L5" r:id="rId2" display="https://app.clickup.com/t/8499449/APP-250" xr:uid="{B5DCC075-C78C-4B62-87D2-99F25FCBF929}"/>
    <hyperlink ref="L6" r:id="rId3" display="https://app.clickup.com/t/8499449/APP-250" xr:uid="{5B863189-D58A-4F9D-BFA7-86F2B0C30576}"/>
    <hyperlink ref="L7:L12" r:id="rId4" display="https://app.clickup.com/t/8499449/APP-250" xr:uid="{B8D756BC-7E52-437C-804D-DEE1CA282CA1}"/>
    <hyperlink ref="L16" r:id="rId5" display="https://app.clickup.com/t/8499449/APP-250" xr:uid="{9D4C5349-6F86-4563-A8B8-4144FC72CA49}"/>
    <hyperlink ref="L8" r:id="rId6" display="https://app.clickup.com/t/8499449/APP-250" xr:uid="{C5E0B22B-DD87-472B-BCAB-2FC244EAB9CE}"/>
    <hyperlink ref="L9" r:id="rId7" display="https://app.clickup.com/t/8499449/APP-250" xr:uid="{AFAABA80-942E-43A5-B274-ED82BDF51080}"/>
    <hyperlink ref="L10" r:id="rId8" display="https://app.clickup.com/t/8499449/APP-250" xr:uid="{512F4942-C36B-46A6-8FBE-722AF14D53F9}"/>
    <hyperlink ref="L11" r:id="rId9" display="https://app.clickup.com/t/8499449/APP-250" xr:uid="{5B75A918-4F26-4AB4-8AA0-45D3DA2924DC}"/>
    <hyperlink ref="L13" r:id="rId10" display="https://app.clickup.com/t/8499449/APP-250" xr:uid="{840AF810-3AED-4061-8EA7-BB2CFAD10ED5}"/>
    <hyperlink ref="L14" r:id="rId11" display="https://app.clickup.com/t/8499449/APP-250" xr:uid="{EBA88C88-4B37-4DE9-815B-684D923B08E4}"/>
    <hyperlink ref="L15" r:id="rId12" display="https://app.clickup.com/t/8499449/APP-250" xr:uid="{8063043B-F80D-4FBE-86DE-7C8FA24F221E}"/>
    <hyperlink ref="L17:L19" r:id="rId13" display="https://app.clickup.com/t/8499449/APP-250" xr:uid="{03317179-0E73-43CA-83D7-38D87026755A}"/>
    <hyperlink ref="L20" r:id="rId14" display="https://app.clickup.com/t/8499449/APP-250" xr:uid="{B1D0BF40-FB82-4645-A9CD-E3D33D83EB1B}"/>
    <hyperlink ref="L21:L27" r:id="rId15" display="https://app.clickup.com/t/8499449/APP-250" xr:uid="{6537914B-34A6-4D91-955F-22AC9676AC3A}"/>
    <hyperlink ref="L31" r:id="rId16" display="https://app.clickup.com/t/8499449/APP-250" xr:uid="{EE12F9EF-50F6-4196-836B-F277BCFEB99D}"/>
    <hyperlink ref="L23" r:id="rId17" display="https://app.clickup.com/t/8499449/APP-250" xr:uid="{A4793E93-01A7-4B3A-921D-FDC022439C79}"/>
    <hyperlink ref="L24" r:id="rId18" display="https://app.clickup.com/t/8499449/APP-250" xr:uid="{DF54D67A-5F2A-4543-8DE5-95AE44F1A242}"/>
    <hyperlink ref="L25" r:id="rId19" display="https://app.clickup.com/t/8499449/APP-250" xr:uid="{B870460A-F630-472B-8977-DAAF3B92CFFE}"/>
    <hyperlink ref="L26" r:id="rId20" display="https://app.clickup.com/t/8499449/APP-250" xr:uid="{70355329-E411-41AF-B20C-F8047D7212DA}"/>
    <hyperlink ref="L28" r:id="rId21" display="https://app.clickup.com/t/8499449/APP-250" xr:uid="{973F2BA6-5A16-4694-A6CE-ACFC4BF261FC}"/>
    <hyperlink ref="L29" r:id="rId22" display="https://app.clickup.com/t/8499449/APP-250" xr:uid="{8D94C3BE-5A03-4BE3-BDE9-C9E3E3172ACC}"/>
    <hyperlink ref="L30" r:id="rId23" display="https://app.clickup.com/t/8499449/APP-250" xr:uid="{8CDC0696-7F9E-4021-853E-6EEE381C090A}"/>
    <hyperlink ref="L32" r:id="rId24" display="https://app.clickup.com/t/8499449/APP-250" xr:uid="{ED63DF3B-1801-45A0-953E-72862272E0A1}"/>
    <hyperlink ref="L33" r:id="rId25" display="https://app.clickup.com/t/8499449/APP-250" xr:uid="{860841F2-8D70-4DA5-B088-480E33B2871C}"/>
    <hyperlink ref="M7" r:id="rId26" xr:uid="{1345E6FA-B112-410F-A920-C9C0060F378D}"/>
    <hyperlink ref="M10" r:id="rId27" xr:uid="{1986F7E4-AB1C-4B24-850E-E12278DEB584}"/>
    <hyperlink ref="M9" r:id="rId28" xr:uid="{52B1FD30-4C1A-4FF0-A648-D64CCAA471FB}"/>
    <hyperlink ref="M13" r:id="rId29" xr:uid="{0D918ECC-236F-4F25-8E6A-CB9124B4B538}"/>
    <hyperlink ref="M12" r:id="rId30" xr:uid="{9830EE3F-8A87-47D7-B508-075DE87923F7}"/>
    <hyperlink ref="M21" r:id="rId31" xr:uid="{42A8D231-2150-4CBD-BA66-B7E100498C51}"/>
    <hyperlink ref="M8" r:id="rId32" xr:uid="{A4CB4073-9CD8-462C-A5CD-9EFFD7352A7A}"/>
    <hyperlink ref="M24" r:id="rId33" xr:uid="{91F24AC9-45DC-4A28-8344-8AD90AC8F951}"/>
    <hyperlink ref="M15" r:id="rId34" xr:uid="{40AC29F7-515B-4119-8E07-58284A860274}"/>
    <hyperlink ref="M23" r:id="rId35" xr:uid="{9E4EBE6F-C5A8-4FD9-A2A5-713EACD8CB1B}"/>
    <hyperlink ref="M11" r:id="rId36" xr:uid="{CA51F3F3-9A71-449F-9A60-FDD90C2922EE}"/>
    <hyperlink ref="M26" r:id="rId37" xr:uid="{98CBA3F4-03EE-4DEB-9384-A34084DF1DB3}"/>
    <hyperlink ref="M27" r:id="rId38" xr:uid="{05C6FF32-6641-403C-B9B2-5081E5480F19}"/>
    <hyperlink ref="M30" r:id="rId39" xr:uid="{DF7836A7-4830-419E-8F47-B8ABDE6D9D15}"/>
    <hyperlink ref="M29" r:id="rId40" xr:uid="{F38D6B61-470F-438D-A1EF-D547992751FC}"/>
    <hyperlink ref="M14" r:id="rId41" xr:uid="{345397C0-DA24-43EF-898A-5995662469B9}"/>
    <hyperlink ref="M22" r:id="rId42" xr:uid="{A3693923-609E-46B1-8717-6B1A9924522B}"/>
    <hyperlink ref="M33" r:id="rId43" xr:uid="{9370CA2C-E136-410F-8162-A08142DE95C5}"/>
    <hyperlink ref="M25" r:id="rId44" xr:uid="{7E213736-ACE0-4032-BE2F-6D2701B5193B}"/>
    <hyperlink ref="M28" r:id="rId45" xr:uid="{C06BF262-59D7-4FCA-8BCB-180A7DC730BA}"/>
    <hyperlink ref="M32" r:id="rId46" xr:uid="{6A7CC649-7AB9-4AE3-B63D-2D4B7068B676}"/>
    <hyperlink ref="M2" r:id="rId47" xr:uid="{DF035F28-FCE8-45B9-B1AB-2E82D5B1569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0F16-E1DA-4BB3-8569-5BCDA49E36FB}">
  <sheetPr filterMode="1"/>
  <dimension ref="A1:N33"/>
  <sheetViews>
    <sheetView workbookViewId="0">
      <pane ySplit="1" topLeftCell="A10" activePane="bottomLeft" state="frozen"/>
      <selection pane="bottomLeft" activeCell="S1" sqref="S1"/>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42.5546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hidden="1">
      <c r="A2" s="1" t="s">
        <v>54</v>
      </c>
      <c r="B2" s="1" t="s">
        <v>201</v>
      </c>
      <c r="C2" s="15">
        <v>1</v>
      </c>
      <c r="D2" s="3" t="s">
        <v>10</v>
      </c>
      <c r="E2" s="3" t="s">
        <v>56</v>
      </c>
      <c r="F2" s="3" t="s">
        <v>12</v>
      </c>
      <c r="G2" s="3" t="s">
        <v>57</v>
      </c>
      <c r="H2" s="100" t="s">
        <v>14</v>
      </c>
      <c r="I2" s="3" t="s">
        <v>30</v>
      </c>
      <c r="J2" s="101" t="s">
        <v>232</v>
      </c>
      <c r="K2" s="3"/>
      <c r="L2" s="4" t="s">
        <v>60</v>
      </c>
      <c r="M2" s="23" t="s">
        <v>233</v>
      </c>
      <c r="N2" s="1" t="s">
        <v>234</v>
      </c>
    </row>
    <row r="3" spans="1:14" ht="230.4" hidden="1">
      <c r="A3" s="11" t="s">
        <v>54</v>
      </c>
      <c r="B3" s="94"/>
      <c r="C3" s="19">
        <v>2</v>
      </c>
      <c r="D3" s="7" t="s">
        <v>15</v>
      </c>
      <c r="E3" s="3" t="s">
        <v>56</v>
      </c>
      <c r="F3" s="3" t="s">
        <v>16</v>
      </c>
      <c r="G3" s="3" t="s">
        <v>63</v>
      </c>
      <c r="H3" s="9" t="s">
        <v>18</v>
      </c>
      <c r="J3" s="105" t="s">
        <v>229</v>
      </c>
      <c r="K3" s="3"/>
      <c r="L3" s="4" t="s">
        <v>64</v>
      </c>
      <c r="M3" s="3"/>
    </row>
    <row r="4" spans="1:14" ht="230.4" hidden="1">
      <c r="A4" s="1" t="s">
        <v>54</v>
      </c>
      <c r="B4" s="94"/>
      <c r="C4" s="19">
        <v>3</v>
      </c>
      <c r="D4" s="7" t="s">
        <v>65</v>
      </c>
      <c r="E4" s="3" t="s">
        <v>56</v>
      </c>
      <c r="F4" s="3" t="s">
        <v>16</v>
      </c>
      <c r="G4" s="3" t="s">
        <v>66</v>
      </c>
      <c r="H4" s="9" t="s">
        <v>40</v>
      </c>
      <c r="J4" s="105" t="s">
        <v>229</v>
      </c>
      <c r="K4" s="3"/>
      <c r="L4" s="4" t="s">
        <v>67</v>
      </c>
      <c r="M4" s="3"/>
    </row>
    <row r="5" spans="1:14" ht="244.8" hidden="1">
      <c r="A5" s="1" t="s">
        <v>54</v>
      </c>
      <c r="B5" s="94" t="s">
        <v>68</v>
      </c>
      <c r="C5" s="19">
        <v>4</v>
      </c>
      <c r="D5" s="7" t="s">
        <v>69</v>
      </c>
      <c r="E5" s="3" t="s">
        <v>56</v>
      </c>
      <c r="F5" s="3" t="s">
        <v>16</v>
      </c>
      <c r="G5" s="3" t="s">
        <v>70</v>
      </c>
      <c r="H5" s="9" t="s">
        <v>42</v>
      </c>
      <c r="J5" s="105" t="s">
        <v>229</v>
      </c>
      <c r="K5" s="3"/>
      <c r="L5" s="4" t="s">
        <v>71</v>
      </c>
      <c r="M5" s="3"/>
    </row>
    <row r="6" spans="1:14" ht="230.4" hidden="1">
      <c r="A6" s="11" t="s">
        <v>54</v>
      </c>
      <c r="B6" s="94"/>
      <c r="C6" s="19">
        <v>5</v>
      </c>
      <c r="D6" s="7" t="s">
        <v>72</v>
      </c>
      <c r="E6" s="3" t="s">
        <v>56</v>
      </c>
      <c r="F6" s="3" t="s">
        <v>16</v>
      </c>
      <c r="G6" s="3" t="s">
        <v>73</v>
      </c>
      <c r="H6" s="9" t="s">
        <v>74</v>
      </c>
      <c r="J6" s="105" t="s">
        <v>229</v>
      </c>
      <c r="K6" s="3"/>
      <c r="L6" s="4" t="s">
        <v>75</v>
      </c>
      <c r="M6" s="3"/>
    </row>
    <row r="7" spans="1:14" ht="201.6" hidden="1">
      <c r="A7" s="1" t="s">
        <v>54</v>
      </c>
      <c r="B7" s="1" t="s">
        <v>203</v>
      </c>
      <c r="C7" s="15">
        <v>6</v>
      </c>
      <c r="D7" s="7" t="s">
        <v>77</v>
      </c>
      <c r="E7" s="3" t="s">
        <v>56</v>
      </c>
      <c r="F7" s="3" t="s">
        <v>16</v>
      </c>
      <c r="G7" s="3" t="s">
        <v>78</v>
      </c>
      <c r="H7" s="100" t="s">
        <v>23</v>
      </c>
      <c r="I7" s="3"/>
      <c r="J7" s="101" t="s">
        <v>232</v>
      </c>
      <c r="K7" s="3"/>
      <c r="L7" s="4" t="s">
        <v>82</v>
      </c>
      <c r="M7" s="27" t="s">
        <v>235</v>
      </c>
      <c r="N7" s="1" t="s">
        <v>236</v>
      </c>
    </row>
    <row r="8" spans="1:14" ht="316.8" hidden="1">
      <c r="A8" s="11" t="s">
        <v>54</v>
      </c>
      <c r="B8" s="1" t="s">
        <v>130</v>
      </c>
      <c r="C8" s="15">
        <v>7</v>
      </c>
      <c r="D8" s="7" t="s">
        <v>85</v>
      </c>
      <c r="E8" s="3" t="s">
        <v>56</v>
      </c>
      <c r="F8" s="3" t="s">
        <v>16</v>
      </c>
      <c r="G8" s="3" t="s">
        <v>86</v>
      </c>
      <c r="H8" s="100" t="s">
        <v>87</v>
      </c>
      <c r="I8" s="3" t="s">
        <v>30</v>
      </c>
      <c r="J8" s="101" t="s">
        <v>232</v>
      </c>
      <c r="K8" s="3"/>
      <c r="L8" s="99" t="s">
        <v>89</v>
      </c>
      <c r="M8" s="17" t="s">
        <v>237</v>
      </c>
      <c r="N8" s="1" t="s">
        <v>238</v>
      </c>
    </row>
    <row r="9" spans="1:14" ht="316.8" hidden="1">
      <c r="A9" s="1" t="s">
        <v>54</v>
      </c>
      <c r="B9" s="1" t="s">
        <v>201</v>
      </c>
      <c r="C9" s="15">
        <v>8</v>
      </c>
      <c r="D9" s="7" t="s">
        <v>92</v>
      </c>
      <c r="E9" s="3" t="s">
        <v>56</v>
      </c>
      <c r="F9" s="3" t="s">
        <v>16</v>
      </c>
      <c r="G9" s="3" t="s">
        <v>86</v>
      </c>
      <c r="H9" s="100" t="s">
        <v>87</v>
      </c>
      <c r="I9" s="3" t="s">
        <v>30</v>
      </c>
      <c r="J9" s="101" t="s">
        <v>232</v>
      </c>
      <c r="K9" s="3"/>
      <c r="L9" s="4" t="s">
        <v>89</v>
      </c>
      <c r="M9" s="23" t="s">
        <v>239</v>
      </c>
      <c r="N9" s="1" t="s">
        <v>240</v>
      </c>
    </row>
    <row r="10" spans="1:14" ht="316.8">
      <c r="A10" s="11" t="s">
        <v>54</v>
      </c>
      <c r="B10" s="1" t="s">
        <v>203</v>
      </c>
      <c r="C10" s="15">
        <v>9</v>
      </c>
      <c r="D10" s="7" t="s">
        <v>96</v>
      </c>
      <c r="E10" s="3" t="s">
        <v>56</v>
      </c>
      <c r="F10" s="3" t="s">
        <v>16</v>
      </c>
      <c r="G10" s="3" t="s">
        <v>86</v>
      </c>
      <c r="H10" s="100" t="s">
        <v>87</v>
      </c>
      <c r="I10" s="103" t="s">
        <v>241</v>
      </c>
      <c r="J10" s="102" t="s">
        <v>80</v>
      </c>
      <c r="K10" s="3" t="s">
        <v>242</v>
      </c>
      <c r="L10" s="4" t="s">
        <v>89</v>
      </c>
      <c r="M10" s="27" t="s">
        <v>243</v>
      </c>
      <c r="N10" s="27" t="s">
        <v>244</v>
      </c>
    </row>
    <row r="11" spans="1:14" ht="316.8" hidden="1">
      <c r="A11" s="1" t="s">
        <v>54</v>
      </c>
      <c r="B11" s="1" t="s">
        <v>130</v>
      </c>
      <c r="C11" s="15">
        <v>10</v>
      </c>
      <c r="D11" s="7" t="s">
        <v>98</v>
      </c>
      <c r="E11" s="3" t="s">
        <v>56</v>
      </c>
      <c r="F11" s="3" t="s">
        <v>16</v>
      </c>
      <c r="G11" s="3" t="s">
        <v>86</v>
      </c>
      <c r="H11" s="9" t="s">
        <v>87</v>
      </c>
      <c r="I11" s="3" t="s">
        <v>30</v>
      </c>
      <c r="J11" s="101" t="s">
        <v>232</v>
      </c>
      <c r="K11" s="3"/>
      <c r="L11" s="4" t="s">
        <v>89</v>
      </c>
      <c r="M11" s="17" t="s">
        <v>245</v>
      </c>
      <c r="N11" s="1" t="s">
        <v>246</v>
      </c>
    </row>
    <row r="12" spans="1:14" ht="374.4" hidden="1">
      <c r="A12" s="11" t="s">
        <v>100</v>
      </c>
      <c r="B12" s="1" t="s">
        <v>201</v>
      </c>
      <c r="C12" s="15">
        <v>11</v>
      </c>
      <c r="D12" s="7" t="s">
        <v>101</v>
      </c>
      <c r="E12" s="3" t="s">
        <v>56</v>
      </c>
      <c r="F12" s="3" t="s">
        <v>16</v>
      </c>
      <c r="G12" s="3" t="s">
        <v>86</v>
      </c>
      <c r="H12" s="9" t="s">
        <v>102</v>
      </c>
      <c r="I12" s="14" t="s">
        <v>30</v>
      </c>
      <c r="J12" s="98" t="s">
        <v>232</v>
      </c>
      <c r="K12" s="27"/>
      <c r="L12" s="4" t="s">
        <v>89</v>
      </c>
      <c r="M12" s="23" t="s">
        <v>212</v>
      </c>
      <c r="N12" s="104" t="s">
        <v>247</v>
      </c>
    </row>
    <row r="13" spans="1:14" ht="374.4" hidden="1">
      <c r="A13" s="11" t="s">
        <v>54</v>
      </c>
      <c r="B13" s="1" t="s">
        <v>203</v>
      </c>
      <c r="C13" s="15">
        <v>12</v>
      </c>
      <c r="D13" s="7" t="s">
        <v>106</v>
      </c>
      <c r="E13" s="3" t="s">
        <v>56</v>
      </c>
      <c r="F13" s="3" t="s">
        <v>16</v>
      </c>
      <c r="G13" s="3" t="s">
        <v>107</v>
      </c>
      <c r="H13" s="9" t="s">
        <v>102</v>
      </c>
      <c r="I13" s="3" t="s">
        <v>30</v>
      </c>
      <c r="J13" s="101" t="s">
        <v>232</v>
      </c>
      <c r="K13" s="3"/>
      <c r="L13" s="4" t="s">
        <v>89</v>
      </c>
      <c r="M13" s="27" t="s">
        <v>248</v>
      </c>
    </row>
    <row r="14" spans="1:14" ht="374.4" hidden="1">
      <c r="A14" s="1" t="s">
        <v>54</v>
      </c>
      <c r="B14" s="1" t="s">
        <v>130</v>
      </c>
      <c r="C14" s="15">
        <v>13</v>
      </c>
      <c r="D14" s="7" t="s">
        <v>108</v>
      </c>
      <c r="E14" s="3" t="s">
        <v>56</v>
      </c>
      <c r="F14" s="3" t="s">
        <v>16</v>
      </c>
      <c r="G14" s="3" t="s">
        <v>107</v>
      </c>
      <c r="H14" s="9" t="s">
        <v>102</v>
      </c>
      <c r="I14" s="3" t="s">
        <v>30</v>
      </c>
      <c r="J14" s="101" t="s">
        <v>232</v>
      </c>
      <c r="K14" s="3"/>
      <c r="L14" s="4" t="s">
        <v>89</v>
      </c>
      <c r="M14" s="27" t="s">
        <v>249</v>
      </c>
      <c r="N14" s="1" t="s">
        <v>250</v>
      </c>
    </row>
    <row r="15" spans="1:14" ht="374.4" hidden="1">
      <c r="A15" s="1" t="s">
        <v>100</v>
      </c>
      <c r="B15" s="1" t="s">
        <v>201</v>
      </c>
      <c r="C15" s="15">
        <v>14</v>
      </c>
      <c r="D15" s="7" t="s">
        <v>113</v>
      </c>
      <c r="E15" s="3" t="s">
        <v>56</v>
      </c>
      <c r="F15" s="3" t="s">
        <v>16</v>
      </c>
      <c r="G15" s="3" t="s">
        <v>107</v>
      </c>
      <c r="H15" s="9" t="s">
        <v>102</v>
      </c>
      <c r="I15" s="3" t="s">
        <v>30</v>
      </c>
      <c r="J15" s="101" t="s">
        <v>232</v>
      </c>
      <c r="K15" s="18"/>
      <c r="L15" s="4" t="s">
        <v>89</v>
      </c>
      <c r="M15" s="23" t="s">
        <v>215</v>
      </c>
      <c r="N15" s="1" t="s">
        <v>251</v>
      </c>
    </row>
    <row r="16" spans="1:14" ht="230.4" hidden="1">
      <c r="B16" s="94"/>
      <c r="C16" s="19">
        <v>15</v>
      </c>
      <c r="D16" s="7" t="s">
        <v>33</v>
      </c>
      <c r="E16" s="3" t="s">
        <v>56</v>
      </c>
      <c r="F16" s="3" t="s">
        <v>16</v>
      </c>
      <c r="G16" s="3" t="s">
        <v>63</v>
      </c>
      <c r="H16" s="9" t="s">
        <v>18</v>
      </c>
      <c r="I16" s="3"/>
      <c r="J16" s="105" t="s">
        <v>229</v>
      </c>
      <c r="K16" s="3"/>
      <c r="L16" s="4" t="s">
        <v>64</v>
      </c>
      <c r="M16" s="3"/>
    </row>
    <row r="17" spans="1:14" ht="230.4" hidden="1">
      <c r="B17" s="94"/>
      <c r="C17" s="19">
        <v>16</v>
      </c>
      <c r="D17" s="10" t="s">
        <v>35</v>
      </c>
      <c r="E17" s="3" t="s">
        <v>56</v>
      </c>
      <c r="F17" s="3" t="s">
        <v>16</v>
      </c>
      <c r="G17" s="3" t="s">
        <v>63</v>
      </c>
      <c r="H17" s="9" t="s">
        <v>18</v>
      </c>
      <c r="I17" s="3"/>
      <c r="J17" s="105" t="s">
        <v>229</v>
      </c>
      <c r="K17" s="3"/>
      <c r="L17" s="4" t="s">
        <v>64</v>
      </c>
      <c r="M17" s="3"/>
    </row>
    <row r="18" spans="1:14" ht="230.4" hidden="1">
      <c r="A18" s="11"/>
      <c r="B18" s="94"/>
      <c r="C18" s="19">
        <v>17</v>
      </c>
      <c r="D18" s="10" t="s">
        <v>115</v>
      </c>
      <c r="E18" s="3" t="s">
        <v>56</v>
      </c>
      <c r="F18" s="3" t="s">
        <v>16</v>
      </c>
      <c r="G18" s="3" t="s">
        <v>66</v>
      </c>
      <c r="H18" s="9" t="s">
        <v>40</v>
      </c>
      <c r="I18" s="3"/>
      <c r="J18" s="105" t="s">
        <v>229</v>
      </c>
      <c r="K18" s="3"/>
      <c r="L18" s="4" t="s">
        <v>67</v>
      </c>
      <c r="M18" s="3"/>
    </row>
    <row r="19" spans="1:14" ht="244.8" hidden="1">
      <c r="A19" s="11"/>
      <c r="B19" s="94" t="s">
        <v>116</v>
      </c>
      <c r="C19" s="19">
        <v>18</v>
      </c>
      <c r="D19" s="10" t="s">
        <v>117</v>
      </c>
      <c r="E19" s="3" t="s">
        <v>56</v>
      </c>
      <c r="F19" s="3" t="s">
        <v>16</v>
      </c>
      <c r="G19" s="3" t="s">
        <v>70</v>
      </c>
      <c r="H19" s="9" t="s">
        <v>42</v>
      </c>
      <c r="I19" s="3" t="s">
        <v>118</v>
      </c>
      <c r="J19" s="105" t="s">
        <v>229</v>
      </c>
      <c r="K19" s="3"/>
      <c r="L19" s="4" t="s">
        <v>71</v>
      </c>
      <c r="M19" s="3"/>
    </row>
    <row r="20" spans="1:14" ht="230.4" hidden="1">
      <c r="B20" s="94"/>
      <c r="C20" s="19">
        <v>19</v>
      </c>
      <c r="D20" s="10" t="s">
        <v>119</v>
      </c>
      <c r="E20" s="3" t="s">
        <v>56</v>
      </c>
      <c r="F20" s="3" t="s">
        <v>16</v>
      </c>
      <c r="G20" s="3" t="s">
        <v>73</v>
      </c>
      <c r="H20" s="9" t="s">
        <v>74</v>
      </c>
      <c r="I20" s="3"/>
      <c r="J20" s="105" t="s">
        <v>229</v>
      </c>
      <c r="K20" s="3"/>
      <c r="L20" s="4" t="s">
        <v>75</v>
      </c>
      <c r="M20" s="3"/>
    </row>
    <row r="21" spans="1:14" ht="201.6" hidden="1">
      <c r="A21" s="1" t="s">
        <v>100</v>
      </c>
      <c r="B21" s="1" t="s">
        <v>203</v>
      </c>
      <c r="C21" s="15">
        <v>20</v>
      </c>
      <c r="D21" s="10" t="s">
        <v>120</v>
      </c>
      <c r="E21" s="3" t="s">
        <v>56</v>
      </c>
      <c r="F21" s="3" t="s">
        <v>16</v>
      </c>
      <c r="G21" s="3" t="s">
        <v>78</v>
      </c>
      <c r="H21" s="9" t="s">
        <v>23</v>
      </c>
      <c r="I21" s="3" t="s">
        <v>30</v>
      </c>
      <c r="J21" s="101" t="s">
        <v>232</v>
      </c>
      <c r="K21" s="24"/>
      <c r="L21" s="4" t="s">
        <v>82</v>
      </c>
      <c r="M21" s="27" t="s">
        <v>252</v>
      </c>
    </row>
    <row r="22" spans="1:14" ht="201.6" hidden="1">
      <c r="B22" s="1" t="s">
        <v>130</v>
      </c>
      <c r="C22" s="15">
        <v>21</v>
      </c>
      <c r="D22" s="10" t="s">
        <v>120</v>
      </c>
      <c r="E22" s="3" t="s">
        <v>56</v>
      </c>
      <c r="F22" s="3" t="s">
        <v>16</v>
      </c>
      <c r="G22" s="3" t="s">
        <v>78</v>
      </c>
      <c r="H22" s="9" t="s">
        <v>23</v>
      </c>
      <c r="I22" s="3" t="s">
        <v>30</v>
      </c>
      <c r="J22" s="101" t="s">
        <v>232</v>
      </c>
      <c r="K22" s="3"/>
      <c r="L22" s="4" t="s">
        <v>193</v>
      </c>
      <c r="M22" s="27" t="s">
        <v>253</v>
      </c>
      <c r="N22" s="1" t="s">
        <v>254</v>
      </c>
    </row>
    <row r="23" spans="1:14" ht="316.8" hidden="1">
      <c r="B23" s="1" t="s">
        <v>201</v>
      </c>
      <c r="C23" s="15">
        <v>22</v>
      </c>
      <c r="D23" s="10" t="s">
        <v>124</v>
      </c>
      <c r="E23" s="3" t="s">
        <v>56</v>
      </c>
      <c r="F23" s="3" t="s">
        <v>16</v>
      </c>
      <c r="G23" s="3" t="s">
        <v>86</v>
      </c>
      <c r="H23" s="9" t="s">
        <v>87</v>
      </c>
      <c r="I23" s="3" t="s">
        <v>30</v>
      </c>
      <c r="J23" s="101" t="s">
        <v>232</v>
      </c>
      <c r="K23" s="3"/>
      <c r="L23" s="4" t="s">
        <v>89</v>
      </c>
      <c r="M23" s="23" t="s">
        <v>218</v>
      </c>
      <c r="N23" s="1" t="s">
        <v>255</v>
      </c>
    </row>
    <row r="24" spans="1:14" ht="316.8" hidden="1">
      <c r="A24" s="11"/>
      <c r="B24" s="1" t="s">
        <v>203</v>
      </c>
      <c r="C24" s="15">
        <v>23</v>
      </c>
      <c r="D24" s="10" t="s">
        <v>128</v>
      </c>
      <c r="E24" s="3" t="s">
        <v>56</v>
      </c>
      <c r="F24" s="3" t="s">
        <v>16</v>
      </c>
      <c r="G24" s="3" t="s">
        <v>86</v>
      </c>
      <c r="H24" s="9" t="s">
        <v>87</v>
      </c>
      <c r="I24" s="14"/>
      <c r="J24" s="101" t="s">
        <v>232</v>
      </c>
      <c r="K24" s="3" t="s">
        <v>256</v>
      </c>
      <c r="L24" s="4" t="s">
        <v>89</v>
      </c>
      <c r="M24" s="27" t="s">
        <v>257</v>
      </c>
      <c r="N24" s="3" t="s">
        <v>258</v>
      </c>
    </row>
    <row r="25" spans="1:14" ht="316.8" hidden="1">
      <c r="A25" s="11" t="s">
        <v>130</v>
      </c>
      <c r="B25" s="1" t="s">
        <v>130</v>
      </c>
      <c r="C25" s="15">
        <v>24</v>
      </c>
      <c r="D25" s="10" t="s">
        <v>131</v>
      </c>
      <c r="E25" s="3" t="s">
        <v>56</v>
      </c>
      <c r="F25" s="3" t="s">
        <v>16</v>
      </c>
      <c r="G25" s="3" t="s">
        <v>86</v>
      </c>
      <c r="H25" s="9" t="s">
        <v>87</v>
      </c>
      <c r="I25" s="3" t="s">
        <v>30</v>
      </c>
      <c r="J25" s="101" t="s">
        <v>232</v>
      </c>
      <c r="K25" s="18"/>
      <c r="L25" s="4" t="s">
        <v>89</v>
      </c>
      <c r="M25" s="27" t="s">
        <v>259</v>
      </c>
      <c r="N25" s="1" t="s">
        <v>260</v>
      </c>
    </row>
    <row r="26" spans="1:14" ht="316.8" hidden="1">
      <c r="B26" s="1" t="s">
        <v>201</v>
      </c>
      <c r="C26" s="15">
        <v>25</v>
      </c>
      <c r="D26" s="10" t="s">
        <v>196</v>
      </c>
      <c r="E26" s="3" t="s">
        <v>56</v>
      </c>
      <c r="F26" s="3" t="s">
        <v>16</v>
      </c>
      <c r="G26" s="3" t="s">
        <v>86</v>
      </c>
      <c r="H26" s="9" t="s">
        <v>87</v>
      </c>
      <c r="I26" s="3" t="s">
        <v>30</v>
      </c>
      <c r="J26" s="15" t="s">
        <v>232</v>
      </c>
      <c r="K26" s="3"/>
      <c r="L26" s="4" t="s">
        <v>89</v>
      </c>
      <c r="M26" s="23" t="s">
        <v>261</v>
      </c>
      <c r="N26"/>
    </row>
    <row r="27" spans="1:14" ht="374.4" hidden="1">
      <c r="B27" s="1" t="s">
        <v>203</v>
      </c>
      <c r="C27" s="15">
        <v>26</v>
      </c>
      <c r="D27" s="10" t="s">
        <v>138</v>
      </c>
      <c r="E27" s="3" t="s">
        <v>56</v>
      </c>
      <c r="F27" s="3" t="s">
        <v>16</v>
      </c>
      <c r="G27" s="3" t="s">
        <v>86</v>
      </c>
      <c r="H27" s="9" t="s">
        <v>102</v>
      </c>
      <c r="I27" s="3" t="s">
        <v>30</v>
      </c>
      <c r="J27" s="101" t="s">
        <v>232</v>
      </c>
      <c r="K27" s="3"/>
      <c r="L27" s="4" t="s">
        <v>89</v>
      </c>
      <c r="M27" s="27" t="s">
        <v>262</v>
      </c>
    </row>
    <row r="28" spans="1:14" ht="374.4" hidden="1">
      <c r="B28" s="1" t="s">
        <v>130</v>
      </c>
      <c r="C28" s="15">
        <v>27</v>
      </c>
      <c r="D28" s="10" t="s">
        <v>141</v>
      </c>
      <c r="E28" s="3" t="s">
        <v>56</v>
      </c>
      <c r="F28" s="3" t="s">
        <v>16</v>
      </c>
      <c r="G28" s="3" t="s">
        <v>107</v>
      </c>
      <c r="H28" s="9" t="s">
        <v>102</v>
      </c>
      <c r="I28" s="3" t="s">
        <v>30</v>
      </c>
      <c r="J28" s="101" t="s">
        <v>232</v>
      </c>
      <c r="K28" s="3"/>
      <c r="L28" s="4" t="s">
        <v>89</v>
      </c>
      <c r="M28" s="27" t="s">
        <v>263</v>
      </c>
      <c r="N28" s="1" t="s">
        <v>264</v>
      </c>
    </row>
    <row r="29" spans="1:14" ht="374.4" hidden="1">
      <c r="A29" s="11"/>
      <c r="B29" s="1" t="s">
        <v>201</v>
      </c>
      <c r="C29" s="15">
        <v>28</v>
      </c>
      <c r="D29" s="10" t="s">
        <v>142</v>
      </c>
      <c r="E29" s="3" t="s">
        <v>56</v>
      </c>
      <c r="F29" s="3" t="s">
        <v>16</v>
      </c>
      <c r="G29" s="3" t="s">
        <v>107</v>
      </c>
      <c r="H29" s="9" t="s">
        <v>102</v>
      </c>
      <c r="I29" s="3" t="s">
        <v>30</v>
      </c>
      <c r="J29" s="101" t="s">
        <v>232</v>
      </c>
      <c r="K29" s="3"/>
      <c r="L29" s="4" t="s">
        <v>89</v>
      </c>
      <c r="M29" s="23" t="s">
        <v>225</v>
      </c>
      <c r="N29" s="1" t="s">
        <v>265</v>
      </c>
    </row>
    <row r="30" spans="1:14" ht="374.4" hidden="1">
      <c r="A30" s="11"/>
      <c r="B30" s="1" t="s">
        <v>203</v>
      </c>
      <c r="C30" s="15">
        <v>29</v>
      </c>
      <c r="D30" s="10" t="s">
        <v>146</v>
      </c>
      <c r="E30" s="3" t="s">
        <v>56</v>
      </c>
      <c r="F30" s="3" t="s">
        <v>16</v>
      </c>
      <c r="G30" s="3" t="s">
        <v>107</v>
      </c>
      <c r="H30" s="9" t="s">
        <v>102</v>
      </c>
      <c r="I30" s="3" t="s">
        <v>30</v>
      </c>
      <c r="J30" s="101" t="s">
        <v>232</v>
      </c>
      <c r="K30" s="3"/>
      <c r="L30" s="4" t="s">
        <v>89</v>
      </c>
      <c r="M30" s="27" t="s">
        <v>148</v>
      </c>
    </row>
    <row r="31" spans="1:14" ht="230.4" hidden="1">
      <c r="B31" s="94"/>
      <c r="C31" s="97">
        <v>30</v>
      </c>
      <c r="D31" s="12" t="s">
        <v>46</v>
      </c>
      <c r="E31" s="13" t="s">
        <v>56</v>
      </c>
      <c r="F31" s="13" t="s">
        <v>16</v>
      </c>
      <c r="G31" s="13" t="s">
        <v>63</v>
      </c>
      <c r="H31" s="9" t="s">
        <v>18</v>
      </c>
      <c r="I31" s="3"/>
      <c r="J31" s="105" t="s">
        <v>229</v>
      </c>
      <c r="K31" s="3"/>
      <c r="L31" s="4" t="s">
        <v>64</v>
      </c>
      <c r="M31" s="3"/>
    </row>
    <row r="32" spans="1:14" ht="230.4" hidden="1">
      <c r="A32" s="11"/>
      <c r="B32" s="1" t="s">
        <v>130</v>
      </c>
      <c r="C32" s="15">
        <v>31</v>
      </c>
      <c r="D32" s="3" t="s">
        <v>47</v>
      </c>
      <c r="E32" s="3" t="s">
        <v>56</v>
      </c>
      <c r="F32" s="3" t="s">
        <v>16</v>
      </c>
      <c r="G32" s="3" t="s">
        <v>149</v>
      </c>
      <c r="H32" s="9" t="s">
        <v>18</v>
      </c>
      <c r="I32" s="3" t="s">
        <v>30</v>
      </c>
      <c r="J32" s="101" t="s">
        <v>232</v>
      </c>
      <c r="K32" s="3"/>
      <c r="L32" s="4" t="s">
        <v>151</v>
      </c>
      <c r="M32" s="27" t="s">
        <v>266</v>
      </c>
      <c r="N32" s="1" t="s">
        <v>267</v>
      </c>
    </row>
    <row r="33" spans="1:14" ht="230.4" hidden="1">
      <c r="A33" s="11"/>
      <c r="B33" s="1" t="s">
        <v>201</v>
      </c>
      <c r="C33" s="15">
        <v>32</v>
      </c>
      <c r="D33" s="3" t="s">
        <v>49</v>
      </c>
      <c r="E33" s="3" t="s">
        <v>56</v>
      </c>
      <c r="F33" s="3" t="s">
        <v>16</v>
      </c>
      <c r="G33" s="3" t="s">
        <v>63</v>
      </c>
      <c r="H33" s="9" t="s">
        <v>18</v>
      </c>
      <c r="I33" s="3" t="s">
        <v>30</v>
      </c>
      <c r="J33" s="101" t="s">
        <v>232</v>
      </c>
      <c r="K33" s="3"/>
      <c r="L33" s="4" t="s">
        <v>154</v>
      </c>
      <c r="M33" s="23" t="s">
        <v>268</v>
      </c>
      <c r="N33" s="1" t="s">
        <v>269</v>
      </c>
    </row>
  </sheetData>
  <autoFilter ref="A1:M33" xr:uid="{DCB37448-7794-4D71-83D8-79D0F3D93892}">
    <filterColumn colId="9">
      <filters>
        <filter val="Fallado"/>
      </filters>
    </filterColumn>
  </autoFilter>
  <hyperlinks>
    <hyperlink ref="L2" r:id="rId1" xr:uid="{F54D3D39-555B-466A-B9C5-FC246C5F5B15}"/>
    <hyperlink ref="L3:L5" r:id="rId2" display="https://app.clickup.com/t/8499449/APP-250" xr:uid="{2BE56167-CD4B-4F12-A70B-0F31AA292067}"/>
    <hyperlink ref="L6" r:id="rId3" display="https://app.clickup.com/t/8499449/APP-250" xr:uid="{61DFD1AA-528A-4790-B293-945AE7E01231}"/>
    <hyperlink ref="L7:L12" r:id="rId4" display="https://app.clickup.com/t/8499449/APP-250" xr:uid="{5B49D607-0BA1-4D10-A418-0A03B0FD88E0}"/>
    <hyperlink ref="L16" r:id="rId5" display="https://app.clickup.com/t/8499449/APP-250" xr:uid="{39FDEEF1-D40D-4FF8-A44D-0822BE32A3F1}"/>
    <hyperlink ref="L8" r:id="rId6" display="https://app.clickup.com/t/8499449/APP-250" xr:uid="{8E36D3F1-47FE-47F7-8F7A-3D2ED188E6E6}"/>
    <hyperlink ref="L9" r:id="rId7" display="https://app.clickup.com/t/8499449/APP-250" xr:uid="{A98AF517-266A-4B8E-BBB8-9FFE4BCC26E4}"/>
    <hyperlink ref="L10" r:id="rId8" display="https://app.clickup.com/t/8499449/APP-250" xr:uid="{67E0289D-6944-4362-B439-EFDBB2CB7159}"/>
    <hyperlink ref="L11" r:id="rId9" display="https://app.clickup.com/t/8499449/APP-250" xr:uid="{BC426985-CAA8-4AEB-873B-C271CAF540A2}"/>
    <hyperlink ref="L13" r:id="rId10" display="https://app.clickup.com/t/8499449/APP-250" xr:uid="{C7707C5D-86BB-4B58-8018-03A42F10E2B1}"/>
    <hyperlink ref="L14" r:id="rId11" display="https://app.clickup.com/t/8499449/APP-250" xr:uid="{AACEADA1-DA1D-4A3D-B8B2-DE8C4C657755}"/>
    <hyperlink ref="L15" r:id="rId12" display="https://app.clickup.com/t/8499449/APP-250" xr:uid="{2E2DE300-F6D1-49E5-9D44-9A238D663F76}"/>
    <hyperlink ref="L17:L19" r:id="rId13" display="https://app.clickup.com/t/8499449/APP-250" xr:uid="{36CF93F6-9DC3-4D4A-AC44-3B051640E2B1}"/>
    <hyperlink ref="L20" r:id="rId14" display="https://app.clickup.com/t/8499449/APP-250" xr:uid="{B94CFC9A-6EDF-48FB-9F05-1AE6629F978E}"/>
    <hyperlink ref="L21:L27" r:id="rId15" display="https://app.clickup.com/t/8499449/APP-250" xr:uid="{0CDDE1F8-9626-4199-AF8C-1D7C0B743AFF}"/>
    <hyperlink ref="L31" r:id="rId16" display="https://app.clickup.com/t/8499449/APP-250" xr:uid="{FAB99A4B-6FE0-401F-BD9C-38BC629D6204}"/>
    <hyperlink ref="L23" r:id="rId17" display="https://app.clickup.com/t/8499449/APP-250" xr:uid="{20373B0F-10A7-46BD-83D3-2C16CE0781C8}"/>
    <hyperlink ref="L24" r:id="rId18" display="https://app.clickup.com/t/8499449/APP-250" xr:uid="{980C2D28-ED2F-4AE4-89C9-23CED2D95206}"/>
    <hyperlink ref="L25" r:id="rId19" display="https://app.clickup.com/t/8499449/APP-250" xr:uid="{38EC083F-B474-45BE-9A08-1AF11EB109F2}"/>
    <hyperlink ref="L26" r:id="rId20" display="https://app.clickup.com/t/8499449/APP-250" xr:uid="{90596EF9-963E-4D80-9E9E-62D9AAB7FD31}"/>
    <hyperlink ref="L28" r:id="rId21" display="https://app.clickup.com/t/8499449/APP-250" xr:uid="{5D92D9F1-DEDA-4090-B285-9405A39D2B14}"/>
    <hyperlink ref="L29" r:id="rId22" display="https://app.clickup.com/t/8499449/APP-250" xr:uid="{B8A2C95D-79A7-48CE-BBD9-9FBDA07981B2}"/>
    <hyperlink ref="L30" r:id="rId23" display="https://app.clickup.com/t/8499449/APP-250" xr:uid="{9952EAFE-7E46-4FBC-A97E-86E6A0D1CD34}"/>
    <hyperlink ref="L32" r:id="rId24" display="https://app.clickup.com/t/8499449/APP-250" xr:uid="{CE025250-7C1F-4D77-8A75-359978202935}"/>
    <hyperlink ref="L33" r:id="rId25" display="https://app.clickup.com/t/8499449/APP-250" xr:uid="{066B4A21-D070-40CF-B370-4736D8D3BD15}"/>
    <hyperlink ref="M24" r:id="rId26" xr:uid="{4C4E5432-A969-47BF-B06D-1D8EC030D105}"/>
    <hyperlink ref="M7" r:id="rId27" xr:uid="{7B46CFB9-C3F0-440A-9A17-F113601FA5F2}"/>
    <hyperlink ref="M10" r:id="rId28" xr:uid="{FE79ACFA-514B-42E1-880A-544F21D906DD}"/>
    <hyperlink ref="M2" r:id="rId29" xr:uid="{4918D815-F069-4AA7-976C-04FD321FD3D9}"/>
    <hyperlink ref="M9" r:id="rId30" xr:uid="{B47E92A9-DCDE-40B5-8BF8-CA325FAA19CD}"/>
    <hyperlink ref="M8" r:id="rId31" xr:uid="{3C1C2A90-BE62-4EF1-A230-4F8F9CB2D721}"/>
    <hyperlink ref="N10" r:id="rId32" xr:uid="{48A23E75-481F-4B41-9CC5-C401DC5A9CA2}"/>
    <hyperlink ref="M13" r:id="rId33" xr:uid="{C830212A-AEBC-4EC7-98C2-4B0FCE4BBF62}"/>
    <hyperlink ref="M21" r:id="rId34" xr:uid="{7A6DF516-C44B-4209-91B2-07C1987C3420}"/>
    <hyperlink ref="M12" r:id="rId35" xr:uid="{C02FBA2C-7DAF-4F63-9269-0BBEF0B07630}"/>
    <hyperlink ref="M27" r:id="rId36" xr:uid="{4B45B753-9CC9-48CC-A188-FEBD5099EFF8}"/>
    <hyperlink ref="M11" r:id="rId37" xr:uid="{188F3002-A368-4672-BADE-1CFCD8153E68}"/>
    <hyperlink ref="M30" r:id="rId38" xr:uid="{B7F3D016-AF4D-4E4D-9E93-D5B494457A84}"/>
    <hyperlink ref="M15" r:id="rId39" xr:uid="{5AF04AE5-AC0C-4F65-9283-21EB5A41951A}"/>
    <hyperlink ref="M14" r:id="rId40" xr:uid="{B3F0AB56-A78B-4208-80FE-25BC9C101A0F}"/>
    <hyperlink ref="M23" r:id="rId41" xr:uid="{B263E36A-E353-4F13-9D8A-100E8D206835}"/>
    <hyperlink ref="M22" r:id="rId42" xr:uid="{09A06FEC-8471-48FF-810A-7EAE916989BD}"/>
    <hyperlink ref="M26" r:id="rId43" xr:uid="{1DBBCD96-5879-4E8B-8CCE-B3DC9E52C042}"/>
    <hyperlink ref="M25" r:id="rId44" xr:uid="{3BBAEC73-25C9-4D53-8F31-AC6C108A8BD9}"/>
    <hyperlink ref="M29" r:id="rId45" xr:uid="{8B47F3CE-3A60-4BCC-B8A8-C0B907A86795}"/>
    <hyperlink ref="M28" r:id="rId46" xr:uid="{B8785A92-9B80-444E-B239-EDA194ACFCC3}"/>
    <hyperlink ref="M32" r:id="rId47" xr:uid="{ECAC17AD-1E1A-4E06-AAD8-99620C4252C7}"/>
    <hyperlink ref="M33" r:id="rId48" xr:uid="{DE3B80FD-E607-4134-841E-8005649988F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D2DB1-0637-49E2-BE78-B1DD33F2D937}">
  <sheetPr filterMode="1"/>
  <dimension ref="A1:N33"/>
  <sheetViews>
    <sheetView workbookViewId="0">
      <pane ySplit="1" topLeftCell="A11" activePane="bottomLeft" state="frozen"/>
      <selection pane="bottomLeft" activeCell="J15" sqref="J15"/>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34.886718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9">
        <v>1</v>
      </c>
      <c r="D2" s="3" t="s">
        <v>10</v>
      </c>
      <c r="E2" s="3" t="s">
        <v>56</v>
      </c>
      <c r="F2" s="3" t="s">
        <v>12</v>
      </c>
      <c r="G2" s="3" t="s">
        <v>57</v>
      </c>
      <c r="H2" s="9" t="s">
        <v>14</v>
      </c>
      <c r="I2" s="14" t="s">
        <v>270</v>
      </c>
      <c r="J2" s="15" t="s">
        <v>59</v>
      </c>
      <c r="K2" s="3"/>
      <c r="L2" s="4" t="s">
        <v>60</v>
      </c>
      <c r="M2" s="23" t="s">
        <v>271</v>
      </c>
    </row>
    <row r="3" spans="1:14" ht="230.4" hidden="1">
      <c r="A3" s="11" t="s">
        <v>54</v>
      </c>
      <c r="C3" s="7">
        <v>2</v>
      </c>
      <c r="D3" s="7" t="s">
        <v>15</v>
      </c>
      <c r="E3" s="3" t="s">
        <v>56</v>
      </c>
      <c r="F3" s="3" t="s">
        <v>16</v>
      </c>
      <c r="G3" s="3" t="s">
        <v>63</v>
      </c>
      <c r="H3" s="9" t="s">
        <v>18</v>
      </c>
      <c r="I3" s="3"/>
      <c r="J3" s="3" t="s">
        <v>229</v>
      </c>
      <c r="K3" s="3"/>
      <c r="L3" s="4" t="s">
        <v>64</v>
      </c>
      <c r="M3" s="3"/>
    </row>
    <row r="4" spans="1:14" ht="230.4" hidden="1">
      <c r="A4" s="1" t="s">
        <v>54</v>
      </c>
      <c r="C4" s="7">
        <v>3</v>
      </c>
      <c r="D4" s="7" t="s">
        <v>65</v>
      </c>
      <c r="E4" s="3" t="s">
        <v>56</v>
      </c>
      <c r="F4" s="3" t="s">
        <v>16</v>
      </c>
      <c r="G4" s="3" t="s">
        <v>66</v>
      </c>
      <c r="H4" s="9" t="s">
        <v>40</v>
      </c>
      <c r="I4" s="3"/>
      <c r="J4" s="3" t="s">
        <v>229</v>
      </c>
      <c r="K4" s="3"/>
      <c r="L4" s="4" t="s">
        <v>67</v>
      </c>
      <c r="M4" s="3"/>
    </row>
    <row r="5" spans="1:14" ht="244.8">
      <c r="A5" s="1" t="s">
        <v>54</v>
      </c>
      <c r="B5" s="94" t="s">
        <v>68</v>
      </c>
      <c r="C5" s="7">
        <v>4</v>
      </c>
      <c r="D5" s="7" t="s">
        <v>69</v>
      </c>
      <c r="E5" s="3" t="s">
        <v>56</v>
      </c>
      <c r="F5" s="3" t="s">
        <v>16</v>
      </c>
      <c r="G5" s="3" t="s">
        <v>70</v>
      </c>
      <c r="H5" s="9" t="s">
        <v>42</v>
      </c>
      <c r="I5" s="14" t="s">
        <v>272</v>
      </c>
      <c r="J5" s="93" t="s">
        <v>80</v>
      </c>
      <c r="K5" s="95" t="s">
        <v>242</v>
      </c>
      <c r="L5" s="4" t="s">
        <v>71</v>
      </c>
      <c r="M5" s="3"/>
    </row>
    <row r="6" spans="1:14" ht="230.4" hidden="1">
      <c r="A6" s="11" t="s">
        <v>54</v>
      </c>
      <c r="C6" s="7">
        <v>5</v>
      </c>
      <c r="D6" s="7" t="s">
        <v>72</v>
      </c>
      <c r="E6" s="3" t="s">
        <v>56</v>
      </c>
      <c r="F6" s="3" t="s">
        <v>16</v>
      </c>
      <c r="G6" s="3" t="s">
        <v>73</v>
      </c>
      <c r="H6" s="9" t="s">
        <v>74</v>
      </c>
      <c r="I6" s="3"/>
      <c r="J6" s="3" t="s">
        <v>229</v>
      </c>
      <c r="K6" s="3"/>
      <c r="L6" s="4" t="s">
        <v>75</v>
      </c>
      <c r="M6" s="3"/>
    </row>
    <row r="7" spans="1:14" ht="201.6">
      <c r="A7" s="1" t="s">
        <v>54</v>
      </c>
      <c r="B7" s="1" t="s">
        <v>201</v>
      </c>
      <c r="C7" s="19">
        <v>6</v>
      </c>
      <c r="D7" s="7" t="s">
        <v>77</v>
      </c>
      <c r="E7" s="3" t="s">
        <v>56</v>
      </c>
      <c r="F7" s="3" t="s">
        <v>16</v>
      </c>
      <c r="G7" s="3" t="s">
        <v>78</v>
      </c>
      <c r="H7" s="9" t="s">
        <v>23</v>
      </c>
      <c r="I7" s="14" t="s">
        <v>273</v>
      </c>
      <c r="J7" s="15" t="s">
        <v>59</v>
      </c>
      <c r="K7" s="3"/>
      <c r="L7" s="4" t="s">
        <v>82</v>
      </c>
      <c r="M7" s="23" t="s">
        <v>274</v>
      </c>
    </row>
    <row r="8" spans="1:14" ht="316.8">
      <c r="A8" s="11" t="s">
        <v>54</v>
      </c>
      <c r="B8" s="1" t="s">
        <v>201</v>
      </c>
      <c r="C8" s="19">
        <v>7</v>
      </c>
      <c r="D8" s="7" t="s">
        <v>85</v>
      </c>
      <c r="E8" s="3" t="s">
        <v>56</v>
      </c>
      <c r="F8" s="3" t="s">
        <v>16</v>
      </c>
      <c r="G8" s="3" t="s">
        <v>86</v>
      </c>
      <c r="H8" s="9" t="s">
        <v>87</v>
      </c>
      <c r="I8" s="14" t="s">
        <v>275</v>
      </c>
      <c r="J8" s="15" t="s">
        <v>59</v>
      </c>
      <c r="K8" s="3"/>
      <c r="L8" s="4" t="s">
        <v>89</v>
      </c>
      <c r="M8" s="23" t="s">
        <v>276</v>
      </c>
    </row>
    <row r="9" spans="1:14" ht="316.8">
      <c r="A9" s="1" t="s">
        <v>54</v>
      </c>
      <c r="B9" s="1" t="s">
        <v>201</v>
      </c>
      <c r="C9" s="19">
        <v>8</v>
      </c>
      <c r="D9" s="7" t="s">
        <v>92</v>
      </c>
      <c r="E9" s="3" t="s">
        <v>56</v>
      </c>
      <c r="F9" s="3" t="s">
        <v>16</v>
      </c>
      <c r="G9" s="3" t="s">
        <v>86</v>
      </c>
      <c r="H9" s="9" t="s">
        <v>87</v>
      </c>
      <c r="I9" s="14" t="s">
        <v>277</v>
      </c>
      <c r="J9" s="15" t="s">
        <v>59</v>
      </c>
      <c r="K9" s="3"/>
      <c r="L9" s="4" t="s">
        <v>89</v>
      </c>
      <c r="M9" s="23" t="s">
        <v>278</v>
      </c>
    </row>
    <row r="10" spans="1:14" ht="316.8">
      <c r="A10" s="11" t="s">
        <v>54</v>
      </c>
      <c r="B10" s="1" t="s">
        <v>201</v>
      </c>
      <c r="C10" s="19">
        <v>9</v>
      </c>
      <c r="D10" s="7" t="s">
        <v>96</v>
      </c>
      <c r="E10" s="3" t="s">
        <v>56</v>
      </c>
      <c r="F10" s="3" t="s">
        <v>16</v>
      </c>
      <c r="G10" s="3" t="s">
        <v>86</v>
      </c>
      <c r="H10" s="9" t="s">
        <v>87</v>
      </c>
      <c r="I10" s="14" t="s">
        <v>279</v>
      </c>
      <c r="J10" s="15" t="s">
        <v>59</v>
      </c>
      <c r="K10" s="3"/>
      <c r="L10" s="4" t="s">
        <v>89</v>
      </c>
      <c r="M10" s="23" t="s">
        <v>280</v>
      </c>
    </row>
    <row r="11" spans="1:14" ht="316.8">
      <c r="A11" s="1" t="s">
        <v>54</v>
      </c>
      <c r="B11" s="1" t="s">
        <v>201</v>
      </c>
      <c r="C11" s="19">
        <v>10</v>
      </c>
      <c r="D11" s="7" t="s">
        <v>98</v>
      </c>
      <c r="E11" s="3" t="s">
        <v>56</v>
      </c>
      <c r="F11" s="3" t="s">
        <v>16</v>
      </c>
      <c r="G11" s="3" t="s">
        <v>86</v>
      </c>
      <c r="H11" s="9" t="s">
        <v>87</v>
      </c>
      <c r="I11" s="14" t="s">
        <v>281</v>
      </c>
      <c r="J11" s="15" t="s">
        <v>59</v>
      </c>
      <c r="K11" s="3"/>
      <c r="L11" s="4" t="s">
        <v>89</v>
      </c>
      <c r="M11" s="23" t="s">
        <v>282</v>
      </c>
    </row>
    <row r="12" spans="1:14" ht="374.4" hidden="1">
      <c r="A12" s="11" t="s">
        <v>100</v>
      </c>
      <c r="B12" s="1" t="s">
        <v>201</v>
      </c>
      <c r="C12" s="19">
        <v>11</v>
      </c>
      <c r="D12" s="7" t="s">
        <v>101</v>
      </c>
      <c r="E12" s="3" t="s">
        <v>56</v>
      </c>
      <c r="F12" s="3" t="s">
        <v>16</v>
      </c>
      <c r="G12" s="3" t="s">
        <v>86</v>
      </c>
      <c r="H12" s="9" t="s">
        <v>102</v>
      </c>
      <c r="I12" s="14" t="s">
        <v>283</v>
      </c>
      <c r="J12" s="96" t="s">
        <v>284</v>
      </c>
      <c r="K12" s="95"/>
      <c r="L12" s="4" t="s">
        <v>89</v>
      </c>
      <c r="M12" s="23" t="s">
        <v>285</v>
      </c>
      <c r="N12" s="23" t="s">
        <v>286</v>
      </c>
    </row>
    <row r="13" spans="1:14" ht="374.4" hidden="1">
      <c r="A13" s="11" t="s">
        <v>54</v>
      </c>
      <c r="B13" s="1" t="s">
        <v>203</v>
      </c>
      <c r="C13" s="19">
        <v>12</v>
      </c>
      <c r="D13" s="7" t="s">
        <v>106</v>
      </c>
      <c r="E13" s="3" t="s">
        <v>56</v>
      </c>
      <c r="F13" s="3" t="s">
        <v>16</v>
      </c>
      <c r="G13" s="3" t="s">
        <v>107</v>
      </c>
      <c r="H13" s="9" t="s">
        <v>102</v>
      </c>
      <c r="I13" s="3" t="s">
        <v>160</v>
      </c>
      <c r="J13" s="96" t="s">
        <v>284</v>
      </c>
      <c r="K13" s="3"/>
      <c r="L13" s="4" t="s">
        <v>89</v>
      </c>
      <c r="M13" s="27" t="s">
        <v>287</v>
      </c>
    </row>
    <row r="14" spans="1:14" ht="374.4" hidden="1">
      <c r="A14" s="1" t="s">
        <v>54</v>
      </c>
      <c r="B14" s="1" t="s">
        <v>203</v>
      </c>
      <c r="C14" s="19">
        <v>13</v>
      </c>
      <c r="D14" s="7" t="s">
        <v>108</v>
      </c>
      <c r="E14" s="3" t="s">
        <v>56</v>
      </c>
      <c r="F14" s="3" t="s">
        <v>16</v>
      </c>
      <c r="G14" s="3" t="s">
        <v>107</v>
      </c>
      <c r="H14" s="9" t="s">
        <v>102</v>
      </c>
      <c r="I14" s="3" t="s">
        <v>160</v>
      </c>
      <c r="J14" s="96" t="s">
        <v>284</v>
      </c>
      <c r="K14" s="3"/>
      <c r="L14" s="4" t="s">
        <v>89</v>
      </c>
      <c r="M14" s="27" t="s">
        <v>288</v>
      </c>
    </row>
    <row r="15" spans="1:14" ht="374.4" hidden="1">
      <c r="A15" s="1" t="s">
        <v>100</v>
      </c>
      <c r="B15" s="1" t="s">
        <v>203</v>
      </c>
      <c r="C15" s="19">
        <v>14</v>
      </c>
      <c r="D15" s="7" t="s">
        <v>113</v>
      </c>
      <c r="E15" s="3" t="s">
        <v>56</v>
      </c>
      <c r="F15" s="3" t="s">
        <v>16</v>
      </c>
      <c r="G15" s="3" t="s">
        <v>107</v>
      </c>
      <c r="H15" s="9" t="s">
        <v>102</v>
      </c>
      <c r="I15" s="3" t="s">
        <v>160</v>
      </c>
      <c r="J15" s="96" t="s">
        <v>284</v>
      </c>
      <c r="K15" s="18"/>
      <c r="L15" s="4" t="s">
        <v>89</v>
      </c>
      <c r="M15" s="27" t="s">
        <v>289</v>
      </c>
    </row>
    <row r="16" spans="1:14" ht="230.4" hidden="1">
      <c r="C16" s="7">
        <v>15</v>
      </c>
      <c r="D16" s="7" t="s">
        <v>33</v>
      </c>
      <c r="E16" s="3" t="s">
        <v>56</v>
      </c>
      <c r="F16" s="3" t="s">
        <v>16</v>
      </c>
      <c r="G16" s="3" t="s">
        <v>63</v>
      </c>
      <c r="H16" s="9" t="s">
        <v>18</v>
      </c>
      <c r="I16" s="3"/>
      <c r="J16" s="3" t="s">
        <v>229</v>
      </c>
      <c r="K16" s="3"/>
      <c r="L16" s="4" t="s">
        <v>64</v>
      </c>
      <c r="M16" s="3"/>
    </row>
    <row r="17" spans="1:14" ht="230.4" hidden="1">
      <c r="C17" s="10">
        <v>16</v>
      </c>
      <c r="D17" s="10" t="s">
        <v>35</v>
      </c>
      <c r="E17" s="3" t="s">
        <v>56</v>
      </c>
      <c r="F17" s="3" t="s">
        <v>16</v>
      </c>
      <c r="G17" s="3" t="s">
        <v>63</v>
      </c>
      <c r="H17" s="9" t="s">
        <v>18</v>
      </c>
      <c r="I17" s="3"/>
      <c r="J17" s="96" t="s">
        <v>284</v>
      </c>
      <c r="K17" s="3"/>
      <c r="L17" s="4" t="s">
        <v>64</v>
      </c>
      <c r="M17" s="3"/>
    </row>
    <row r="18" spans="1:14" ht="230.4" hidden="1">
      <c r="A18" s="11"/>
      <c r="C18" s="10">
        <v>17</v>
      </c>
      <c r="D18" s="10" t="s">
        <v>115</v>
      </c>
      <c r="E18" s="3" t="s">
        <v>56</v>
      </c>
      <c r="F18" s="3" t="s">
        <v>16</v>
      </c>
      <c r="G18" s="3" t="s">
        <v>66</v>
      </c>
      <c r="H18" s="9" t="s">
        <v>40</v>
      </c>
      <c r="I18" s="3"/>
      <c r="J18" s="96" t="s">
        <v>284</v>
      </c>
      <c r="K18" s="3"/>
      <c r="L18" s="4" t="s">
        <v>67</v>
      </c>
      <c r="M18" s="3"/>
    </row>
    <row r="19" spans="1:14" ht="244.8">
      <c r="A19" s="11"/>
      <c r="B19" s="94" t="s">
        <v>116</v>
      </c>
      <c r="C19" s="10">
        <v>18</v>
      </c>
      <c r="D19" s="10" t="s">
        <v>117</v>
      </c>
      <c r="E19" s="3" t="s">
        <v>56</v>
      </c>
      <c r="F19" s="3" t="s">
        <v>16</v>
      </c>
      <c r="G19" s="3" t="s">
        <v>70</v>
      </c>
      <c r="H19" s="9" t="s">
        <v>42</v>
      </c>
      <c r="I19" s="3" t="s">
        <v>118</v>
      </c>
      <c r="J19" s="93" t="s">
        <v>80</v>
      </c>
      <c r="K19" s="3" t="s">
        <v>242</v>
      </c>
      <c r="L19" s="4" t="s">
        <v>71</v>
      </c>
      <c r="M19" s="3"/>
    </row>
    <row r="20" spans="1:14" ht="230.4" hidden="1">
      <c r="C20" s="10">
        <v>19</v>
      </c>
      <c r="D20" s="10" t="s">
        <v>119</v>
      </c>
      <c r="E20" s="3" t="s">
        <v>56</v>
      </c>
      <c r="F20" s="3" t="s">
        <v>16</v>
      </c>
      <c r="G20" s="3" t="s">
        <v>73</v>
      </c>
      <c r="H20" s="9" t="s">
        <v>74</v>
      </c>
      <c r="I20" s="3"/>
      <c r="J20" s="96" t="s">
        <v>284</v>
      </c>
      <c r="K20" s="3"/>
      <c r="L20" s="4" t="s">
        <v>75</v>
      </c>
      <c r="M20" s="3"/>
    </row>
    <row r="21" spans="1:14" ht="201.6" hidden="1">
      <c r="A21" s="1" t="s">
        <v>100</v>
      </c>
      <c r="B21" s="1" t="s">
        <v>203</v>
      </c>
      <c r="C21" s="19">
        <v>20</v>
      </c>
      <c r="D21" s="10" t="s">
        <v>120</v>
      </c>
      <c r="E21" s="3" t="s">
        <v>56</v>
      </c>
      <c r="F21" s="3" t="s">
        <v>16</v>
      </c>
      <c r="G21" s="3" t="s">
        <v>78</v>
      </c>
      <c r="H21" s="9" t="s">
        <v>23</v>
      </c>
      <c r="I21" s="3" t="s">
        <v>160</v>
      </c>
      <c r="J21" s="96" t="s">
        <v>284</v>
      </c>
      <c r="K21" s="24"/>
      <c r="L21" s="4" t="s">
        <v>82</v>
      </c>
      <c r="M21" s="27" t="s">
        <v>290</v>
      </c>
    </row>
    <row r="22" spans="1:14" ht="201.6" hidden="1">
      <c r="B22" s="1" t="s">
        <v>203</v>
      </c>
      <c r="C22" s="19">
        <v>21</v>
      </c>
      <c r="D22" s="10" t="s">
        <v>120</v>
      </c>
      <c r="E22" s="3" t="s">
        <v>56</v>
      </c>
      <c r="F22" s="3" t="s">
        <v>16</v>
      </c>
      <c r="G22" s="3" t="s">
        <v>78</v>
      </c>
      <c r="H22" s="9" t="s">
        <v>23</v>
      </c>
      <c r="I22" s="3" t="s">
        <v>160</v>
      </c>
      <c r="J22" s="96" t="s">
        <v>284</v>
      </c>
      <c r="K22" s="3"/>
      <c r="L22" s="4" t="s">
        <v>193</v>
      </c>
      <c r="M22" s="27" t="s">
        <v>291</v>
      </c>
    </row>
    <row r="23" spans="1:14" ht="316.8" hidden="1">
      <c r="B23" s="1" t="s">
        <v>203</v>
      </c>
      <c r="C23" s="19">
        <v>22</v>
      </c>
      <c r="D23" s="10" t="s">
        <v>124</v>
      </c>
      <c r="E23" s="3" t="s">
        <v>56</v>
      </c>
      <c r="F23" s="3" t="s">
        <v>16</v>
      </c>
      <c r="G23" s="3" t="s">
        <v>86</v>
      </c>
      <c r="H23" s="9" t="s">
        <v>87</v>
      </c>
      <c r="I23" s="3" t="s">
        <v>160</v>
      </c>
      <c r="J23" s="96" t="s">
        <v>284</v>
      </c>
      <c r="K23" s="3"/>
      <c r="L23" s="4" t="s">
        <v>89</v>
      </c>
      <c r="M23" s="27" t="s">
        <v>292</v>
      </c>
    </row>
    <row r="24" spans="1:14" ht="316.8" hidden="1">
      <c r="A24" s="11"/>
      <c r="B24" s="1" t="s">
        <v>203</v>
      </c>
      <c r="C24" s="19">
        <v>23</v>
      </c>
      <c r="D24" s="10" t="s">
        <v>128</v>
      </c>
      <c r="E24" s="3" t="s">
        <v>56</v>
      </c>
      <c r="F24" s="3" t="s">
        <v>16</v>
      </c>
      <c r="G24" s="3" t="s">
        <v>86</v>
      </c>
      <c r="H24" s="9" t="s">
        <v>87</v>
      </c>
      <c r="I24" s="14" t="s">
        <v>293</v>
      </c>
      <c r="J24" s="96" t="s">
        <v>284</v>
      </c>
      <c r="K24" s="3"/>
      <c r="L24" s="4" t="s">
        <v>89</v>
      </c>
      <c r="M24" s="27" t="s">
        <v>257</v>
      </c>
      <c r="N24" s="3" t="s">
        <v>258</v>
      </c>
    </row>
    <row r="25" spans="1:14" ht="316.8" hidden="1">
      <c r="A25" s="11" t="s">
        <v>130</v>
      </c>
      <c r="B25" s="1" t="s">
        <v>130</v>
      </c>
      <c r="C25" s="19">
        <v>24</v>
      </c>
      <c r="D25" s="10" t="s">
        <v>131</v>
      </c>
      <c r="E25" s="3" t="s">
        <v>56</v>
      </c>
      <c r="F25" s="3" t="s">
        <v>16</v>
      </c>
      <c r="G25" s="3" t="s">
        <v>86</v>
      </c>
      <c r="H25" s="9" t="s">
        <v>87</v>
      </c>
      <c r="I25" s="3" t="s">
        <v>294</v>
      </c>
      <c r="J25" s="96" t="s">
        <v>284</v>
      </c>
      <c r="K25" s="18"/>
      <c r="L25" s="4" t="s">
        <v>89</v>
      </c>
      <c r="M25" s="27" t="s">
        <v>295</v>
      </c>
    </row>
    <row r="26" spans="1:14" ht="316.8" hidden="1">
      <c r="B26" s="1" t="s">
        <v>130</v>
      </c>
      <c r="C26" s="19">
        <v>25</v>
      </c>
      <c r="D26" s="10" t="s">
        <v>196</v>
      </c>
      <c r="E26" s="3" t="s">
        <v>56</v>
      </c>
      <c r="F26" s="3" t="s">
        <v>16</v>
      </c>
      <c r="G26" s="3" t="s">
        <v>86</v>
      </c>
      <c r="H26" s="9" t="s">
        <v>87</v>
      </c>
      <c r="I26" s="3" t="s">
        <v>294</v>
      </c>
      <c r="J26" s="96" t="s">
        <v>284</v>
      </c>
      <c r="K26" s="3"/>
      <c r="L26" s="4" t="s">
        <v>89</v>
      </c>
      <c r="M26" s="27" t="s">
        <v>296</v>
      </c>
    </row>
    <row r="27" spans="1:14" ht="374.4" hidden="1">
      <c r="B27" s="1" t="s">
        <v>130</v>
      </c>
      <c r="C27" s="19">
        <v>26</v>
      </c>
      <c r="D27" s="10" t="s">
        <v>138</v>
      </c>
      <c r="E27" s="3" t="s">
        <v>56</v>
      </c>
      <c r="F27" s="3" t="s">
        <v>16</v>
      </c>
      <c r="G27" s="3" t="s">
        <v>86</v>
      </c>
      <c r="H27" s="9" t="s">
        <v>102</v>
      </c>
      <c r="I27" s="3" t="s">
        <v>294</v>
      </c>
      <c r="J27" s="96" t="s">
        <v>284</v>
      </c>
      <c r="K27" s="3"/>
      <c r="L27" s="4" t="s">
        <v>89</v>
      </c>
      <c r="M27" s="27" t="s">
        <v>297</v>
      </c>
    </row>
    <row r="28" spans="1:14" ht="374.4" hidden="1">
      <c r="B28" s="1" t="s">
        <v>130</v>
      </c>
      <c r="C28" s="19">
        <v>27</v>
      </c>
      <c r="D28" s="10" t="s">
        <v>141</v>
      </c>
      <c r="E28" s="3" t="s">
        <v>56</v>
      </c>
      <c r="F28" s="3" t="s">
        <v>16</v>
      </c>
      <c r="G28" s="3" t="s">
        <v>107</v>
      </c>
      <c r="H28" s="9" t="s">
        <v>102</v>
      </c>
      <c r="I28" s="3" t="s">
        <v>294</v>
      </c>
      <c r="J28" s="96" t="s">
        <v>284</v>
      </c>
      <c r="K28" s="3"/>
      <c r="L28" s="4" t="s">
        <v>89</v>
      </c>
      <c r="M28" s="27" t="s">
        <v>298</v>
      </c>
    </row>
    <row r="29" spans="1:14" ht="374.4" hidden="1">
      <c r="A29" s="11"/>
      <c r="B29" s="1" t="s">
        <v>130</v>
      </c>
      <c r="C29" s="19">
        <v>28</v>
      </c>
      <c r="D29" s="10" t="s">
        <v>142</v>
      </c>
      <c r="E29" s="3" t="s">
        <v>56</v>
      </c>
      <c r="F29" s="3" t="s">
        <v>16</v>
      </c>
      <c r="G29" s="3" t="s">
        <v>107</v>
      </c>
      <c r="H29" s="9" t="s">
        <v>102</v>
      </c>
      <c r="I29" s="3" t="s">
        <v>294</v>
      </c>
      <c r="J29" s="96" t="s">
        <v>284</v>
      </c>
      <c r="K29" s="3"/>
      <c r="L29" s="4" t="s">
        <v>89</v>
      </c>
      <c r="M29" s="27" t="s">
        <v>299</v>
      </c>
    </row>
    <row r="30" spans="1:14" ht="374.4" hidden="1">
      <c r="A30" s="11"/>
      <c r="B30" s="1" t="s">
        <v>130</v>
      </c>
      <c r="C30" s="19">
        <v>29</v>
      </c>
      <c r="D30" s="10" t="s">
        <v>146</v>
      </c>
      <c r="E30" s="3" t="s">
        <v>56</v>
      </c>
      <c r="F30" s="3" t="s">
        <v>16</v>
      </c>
      <c r="G30" s="3" t="s">
        <v>107</v>
      </c>
      <c r="H30" s="9" t="s">
        <v>102</v>
      </c>
      <c r="I30" s="3" t="s">
        <v>294</v>
      </c>
      <c r="J30" s="96" t="s">
        <v>284</v>
      </c>
      <c r="K30" s="3"/>
      <c r="L30" s="4" t="s">
        <v>89</v>
      </c>
      <c r="M30" s="27" t="s">
        <v>300</v>
      </c>
    </row>
    <row r="31" spans="1:14" ht="230.4" hidden="1">
      <c r="C31" s="12">
        <v>30</v>
      </c>
      <c r="D31" s="12" t="s">
        <v>46</v>
      </c>
      <c r="E31" s="13" t="s">
        <v>56</v>
      </c>
      <c r="F31" s="13" t="s">
        <v>16</v>
      </c>
      <c r="G31" s="13" t="s">
        <v>63</v>
      </c>
      <c r="H31" s="9" t="s">
        <v>18</v>
      </c>
      <c r="I31" s="3"/>
      <c r="J31" s="96" t="s">
        <v>284</v>
      </c>
      <c r="K31" s="3"/>
      <c r="L31" s="4" t="s">
        <v>64</v>
      </c>
      <c r="M31" s="3"/>
    </row>
    <row r="32" spans="1:14" ht="230.4" hidden="1">
      <c r="A32" s="11"/>
      <c r="B32" s="1" t="s">
        <v>130</v>
      </c>
      <c r="C32" s="19">
        <v>31</v>
      </c>
      <c r="D32" s="3" t="s">
        <v>47</v>
      </c>
      <c r="E32" s="3" t="s">
        <v>56</v>
      </c>
      <c r="F32" s="3" t="s">
        <v>16</v>
      </c>
      <c r="G32" s="3" t="s">
        <v>149</v>
      </c>
      <c r="H32" s="9" t="s">
        <v>18</v>
      </c>
      <c r="I32" s="3" t="s">
        <v>294</v>
      </c>
      <c r="J32" s="96" t="s">
        <v>284</v>
      </c>
      <c r="K32" s="3"/>
      <c r="L32" s="4" t="s">
        <v>151</v>
      </c>
      <c r="M32" s="27" t="s">
        <v>301</v>
      </c>
    </row>
    <row r="33" spans="1:13" ht="230.4" hidden="1">
      <c r="A33" s="11"/>
      <c r="B33" s="1" t="s">
        <v>130</v>
      </c>
      <c r="C33" s="19">
        <v>32</v>
      </c>
      <c r="D33" s="3" t="s">
        <v>49</v>
      </c>
      <c r="E33" s="3" t="s">
        <v>56</v>
      </c>
      <c r="F33" s="3" t="s">
        <v>16</v>
      </c>
      <c r="G33" s="3" t="s">
        <v>63</v>
      </c>
      <c r="H33" s="9" t="s">
        <v>18</v>
      </c>
      <c r="I33" s="3" t="s">
        <v>294</v>
      </c>
      <c r="J33" s="96" t="s">
        <v>284</v>
      </c>
      <c r="K33" s="3"/>
      <c r="L33" s="4" t="s">
        <v>154</v>
      </c>
      <c r="M33" s="27" t="s">
        <v>301</v>
      </c>
    </row>
  </sheetData>
  <autoFilter ref="A1:M33" xr:uid="{DCB37448-7794-4D71-83D8-79D0F3D93892}">
    <filterColumn colId="9">
      <filters>
        <filter val="Exitoso"/>
        <filter val="Fallado"/>
      </filters>
    </filterColumn>
  </autoFilter>
  <hyperlinks>
    <hyperlink ref="L2" r:id="rId1" xr:uid="{E4A76D73-571B-4AE1-AFDD-5DEE4C349239}"/>
    <hyperlink ref="L3:L5" r:id="rId2" display="https://app.clickup.com/t/8499449/APP-250" xr:uid="{0AB495DA-B9FA-45DC-87C3-28FFA1070330}"/>
    <hyperlink ref="L6" r:id="rId3" display="https://app.clickup.com/t/8499449/APP-250" xr:uid="{0ADBCDDB-FA7D-452D-B810-65CC7CD488E6}"/>
    <hyperlink ref="L7:L12" r:id="rId4" display="https://app.clickup.com/t/8499449/APP-250" xr:uid="{293E7FA0-1486-4A9C-8C12-675476076B32}"/>
    <hyperlink ref="L16" r:id="rId5" display="https://app.clickup.com/t/8499449/APP-250" xr:uid="{CF97AA96-CE0E-45A0-A793-6B077114AAD9}"/>
    <hyperlink ref="L8" r:id="rId6" display="https://app.clickup.com/t/8499449/APP-250" xr:uid="{5CA41B4B-0C87-4544-9109-39D3C65313DC}"/>
    <hyperlink ref="L9" r:id="rId7" display="https://app.clickup.com/t/8499449/APP-250" xr:uid="{498AF637-15BF-4ECE-B7D4-76D2C03F4299}"/>
    <hyperlink ref="L10" r:id="rId8" display="https://app.clickup.com/t/8499449/APP-250" xr:uid="{2BAEB929-E89C-417D-8F77-2FD19B348432}"/>
    <hyperlink ref="L11" r:id="rId9" display="https://app.clickup.com/t/8499449/APP-250" xr:uid="{74E8F51E-B446-49EB-9539-3459C0CC0642}"/>
    <hyperlink ref="L13" r:id="rId10" display="https://app.clickup.com/t/8499449/APP-250" xr:uid="{52DB0A38-97D0-44EF-9F78-CC13534B6585}"/>
    <hyperlink ref="L14" r:id="rId11" display="https://app.clickup.com/t/8499449/APP-250" xr:uid="{77CFF23E-9C46-42B9-97DD-CA3EF140CAA3}"/>
    <hyperlink ref="L15" r:id="rId12" display="https://app.clickup.com/t/8499449/APP-250" xr:uid="{5EDE640B-9D4D-41A7-882C-F98C3E37ECC9}"/>
    <hyperlink ref="L17:L19" r:id="rId13" display="https://app.clickup.com/t/8499449/APP-250" xr:uid="{10656951-D0AF-4326-A241-6E4045B6A1F1}"/>
    <hyperlink ref="L20" r:id="rId14" display="https://app.clickup.com/t/8499449/APP-250" xr:uid="{E37B5A9D-FD89-4AB5-AE0F-833BD6C162D9}"/>
    <hyperlink ref="L21:L27" r:id="rId15" display="https://app.clickup.com/t/8499449/APP-250" xr:uid="{AE4D2126-5010-4967-8BBA-96BA229210FA}"/>
    <hyperlink ref="L31" r:id="rId16" display="https://app.clickup.com/t/8499449/APP-250" xr:uid="{5DD26D7C-D651-4A38-BDA6-05B9D505ED07}"/>
    <hyperlink ref="L23" r:id="rId17" display="https://app.clickup.com/t/8499449/APP-250" xr:uid="{1301856F-F9DD-4B4D-84E7-770D844471FE}"/>
    <hyperlink ref="L24" r:id="rId18" display="https://app.clickup.com/t/8499449/APP-250" xr:uid="{51681362-69EA-4E52-B9D3-C0BEBB0C7D14}"/>
    <hyperlink ref="L25" r:id="rId19" display="https://app.clickup.com/t/8499449/APP-250" xr:uid="{9198CE4C-F804-44EB-8F72-C2EFFCCEDB6E}"/>
    <hyperlink ref="L26" r:id="rId20" display="https://app.clickup.com/t/8499449/APP-250" xr:uid="{7E3B2F0B-CC64-4C1C-B91B-E04272F396FA}"/>
    <hyperlink ref="L28" r:id="rId21" display="https://app.clickup.com/t/8499449/APP-250" xr:uid="{1F55B09A-4230-49BF-9916-6ECC3F21CCEB}"/>
    <hyperlink ref="L29" r:id="rId22" display="https://app.clickup.com/t/8499449/APP-250" xr:uid="{3F45471A-B863-4BC3-8E5A-1AF465192FAC}"/>
    <hyperlink ref="L30" r:id="rId23" display="https://app.clickup.com/t/8499449/APP-250" xr:uid="{F5223605-24A9-497D-B5D2-D3A7EF1C9390}"/>
    <hyperlink ref="L32" r:id="rId24" display="https://app.clickup.com/t/8499449/APP-250" xr:uid="{6399BCC3-EBCE-47DE-A2D1-1177A7DE56AD}"/>
    <hyperlink ref="L33" r:id="rId25" display="https://app.clickup.com/t/8499449/APP-250" xr:uid="{BCE13C7B-9926-489A-8738-F5CEA63D81D8}"/>
    <hyperlink ref="N12" r:id="rId26" xr:uid="{6E1FE270-6990-49D5-9DFD-A8F262E69B68}"/>
    <hyperlink ref="M2" r:id="rId27" xr:uid="{9BF67833-FAD1-45A5-AA94-B09EFA35F7E9}"/>
    <hyperlink ref="M7" r:id="rId28" xr:uid="{2ADB50C7-2C7D-420F-84FF-8D729E37B3D6}"/>
    <hyperlink ref="M13" r:id="rId29" xr:uid="{D7371BED-E067-49E7-959A-C3DC1BE40BAD}"/>
    <hyperlink ref="M8" r:id="rId30" xr:uid="{0046F648-3672-41E5-820D-078EA653F299}"/>
    <hyperlink ref="M14" r:id="rId31" xr:uid="{F53696A7-51B1-45F9-A40C-FCAED0C38413}"/>
    <hyperlink ref="M15" r:id="rId32" xr:uid="{2455ED56-D868-4273-AB5B-29305818EF98}"/>
    <hyperlink ref="M25" r:id="rId33" xr:uid="{5979A387-AD13-493E-95D5-158BCD2AF302}"/>
    <hyperlink ref="M26" r:id="rId34" xr:uid="{90875164-F117-4FB8-BD2E-BEF35D4E699D}"/>
    <hyperlink ref="M27" r:id="rId35" xr:uid="{2803C341-27C6-45A6-9E6A-0B4E9791B04E}"/>
    <hyperlink ref="M28" r:id="rId36" xr:uid="{DBAD2E0A-5C64-44A6-A7F0-385A9D3AA955}"/>
    <hyperlink ref="M29" r:id="rId37" xr:uid="{8E173185-C38A-43BB-BFA7-DA12DF70B28D}"/>
    <hyperlink ref="M30" r:id="rId38" xr:uid="{86661650-5EF8-4A8D-931A-FD7C71A2FA79}"/>
    <hyperlink ref="M32" r:id="rId39" xr:uid="{08CDBF07-19F6-457F-8D36-EDB6A7C462AD}"/>
    <hyperlink ref="M33" r:id="rId40" xr:uid="{720F1E59-A76D-4B3A-89EA-03CF35EEF331}"/>
    <hyperlink ref="M9" r:id="rId41" xr:uid="{D041E33F-7657-40BA-95B6-18F99D5ECA2C}"/>
    <hyperlink ref="M21" r:id="rId42" xr:uid="{7A256CA2-32B1-4BF5-AD3E-0D88B3570319}"/>
    <hyperlink ref="M10" r:id="rId43" xr:uid="{235DC055-8A69-47C7-B5F0-21D4048573F3}"/>
    <hyperlink ref="M23" r:id="rId44" xr:uid="{1B2CA557-E42A-417A-BDEF-66941F8FD4E8}"/>
    <hyperlink ref="M22" r:id="rId45" xr:uid="{4B4589C0-A721-47AB-8D5D-4E7C8836BC93}"/>
    <hyperlink ref="M11" r:id="rId46" xr:uid="{B1FD90A6-4BC0-41E9-9006-204E3AFD8966}"/>
    <hyperlink ref="M24" r:id="rId47" xr:uid="{08F162FC-F970-4F6E-A4FB-5B9511385C47}"/>
    <hyperlink ref="M12" r:id="rId48" xr:uid="{8F7CC884-16B2-4065-9E0A-4D6FB500D56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1E6B3-AE0E-4F82-8CE5-818E954EB8E9}">
  <dimension ref="A1:N33"/>
  <sheetViews>
    <sheetView workbookViewId="0">
      <pane ySplit="1" topLeftCell="A2" activePane="bottomLeft" state="frozen"/>
      <selection pane="bottomLeft" activeCell="C2" sqref="C2"/>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4" width="21.44140625" style="1" customWidth="1"/>
    <col min="15" max="16384" width="11.44140625" style="1"/>
  </cols>
  <sheetData>
    <row r="1" spans="1:14" ht="28.8">
      <c r="B1" s="1" t="s">
        <v>51</v>
      </c>
      <c r="C1" s="5" t="s">
        <v>0</v>
      </c>
      <c r="D1" s="6" t="s">
        <v>1</v>
      </c>
      <c r="E1" s="6" t="s">
        <v>2</v>
      </c>
      <c r="F1" s="6" t="s">
        <v>3</v>
      </c>
      <c r="G1" s="6" t="s">
        <v>4</v>
      </c>
      <c r="H1" s="8" t="s">
        <v>5</v>
      </c>
      <c r="I1" s="6" t="s">
        <v>52</v>
      </c>
      <c r="J1" s="6" t="s">
        <v>6</v>
      </c>
      <c r="K1" s="6" t="s">
        <v>7</v>
      </c>
      <c r="L1" s="6" t="s">
        <v>8</v>
      </c>
      <c r="M1" s="6" t="s">
        <v>53</v>
      </c>
      <c r="N1" s="30" t="s">
        <v>9</v>
      </c>
    </row>
    <row r="2" spans="1:14" ht="144">
      <c r="A2" s="1" t="s">
        <v>54</v>
      </c>
      <c r="B2" s="1" t="s">
        <v>201</v>
      </c>
      <c r="C2" s="19">
        <v>1</v>
      </c>
      <c r="D2" s="3" t="s">
        <v>10</v>
      </c>
      <c r="E2" s="3" t="s">
        <v>56</v>
      </c>
      <c r="F2" s="3" t="s">
        <v>12</v>
      </c>
      <c r="G2" s="3" t="s">
        <v>57</v>
      </c>
      <c r="H2" s="9" t="s">
        <v>14</v>
      </c>
      <c r="I2" s="14" t="s">
        <v>270</v>
      </c>
      <c r="J2" s="15" t="s">
        <v>59</v>
      </c>
      <c r="K2" s="3"/>
      <c r="L2" s="4" t="s">
        <v>60</v>
      </c>
      <c r="M2" s="23" t="s">
        <v>271</v>
      </c>
    </row>
    <row r="3" spans="1:14" ht="230.4">
      <c r="A3" s="11" t="s">
        <v>54</v>
      </c>
      <c r="C3" s="7">
        <v>2</v>
      </c>
      <c r="D3" s="7" t="s">
        <v>15</v>
      </c>
      <c r="E3" s="3" t="s">
        <v>56</v>
      </c>
      <c r="F3" s="3" t="s">
        <v>16</v>
      </c>
      <c r="G3" s="3" t="s">
        <v>63</v>
      </c>
      <c r="H3" s="9" t="s">
        <v>18</v>
      </c>
      <c r="I3" s="3"/>
      <c r="J3" s="3"/>
      <c r="K3" s="3"/>
      <c r="L3" s="4" t="s">
        <v>64</v>
      </c>
      <c r="M3" s="3"/>
    </row>
    <row r="4" spans="1:14" ht="230.4">
      <c r="A4" s="1" t="s">
        <v>54</v>
      </c>
      <c r="C4" s="7">
        <v>3</v>
      </c>
      <c r="D4" s="7" t="s">
        <v>65</v>
      </c>
      <c r="E4" s="3" t="s">
        <v>56</v>
      </c>
      <c r="F4" s="3" t="s">
        <v>16</v>
      </c>
      <c r="G4" s="3" t="s">
        <v>66</v>
      </c>
      <c r="H4" s="9" t="s">
        <v>40</v>
      </c>
      <c r="I4" s="3"/>
      <c r="J4" s="3"/>
      <c r="K4" s="3"/>
      <c r="L4" s="4" t="s">
        <v>67</v>
      </c>
      <c r="M4" s="3"/>
    </row>
    <row r="5" spans="1:14" ht="244.8">
      <c r="A5" s="1" t="s">
        <v>54</v>
      </c>
      <c r="B5" s="94" t="s">
        <v>68</v>
      </c>
      <c r="C5" s="7">
        <v>4</v>
      </c>
      <c r="D5" s="7" t="s">
        <v>69</v>
      </c>
      <c r="E5" s="3" t="s">
        <v>56</v>
      </c>
      <c r="F5" s="3" t="s">
        <v>16</v>
      </c>
      <c r="G5" s="3" t="s">
        <v>70</v>
      </c>
      <c r="H5" s="9" t="s">
        <v>42</v>
      </c>
      <c r="I5" s="14" t="s">
        <v>302</v>
      </c>
      <c r="J5" s="15" t="s">
        <v>80</v>
      </c>
      <c r="K5" s="15"/>
      <c r="L5" s="4" t="s">
        <v>71</v>
      </c>
      <c r="M5" s="3"/>
    </row>
    <row r="6" spans="1:14" ht="230.4">
      <c r="A6" s="11" t="s">
        <v>54</v>
      </c>
      <c r="C6" s="7">
        <v>5</v>
      </c>
      <c r="D6" s="7" t="s">
        <v>72</v>
      </c>
      <c r="E6" s="3" t="s">
        <v>56</v>
      </c>
      <c r="F6" s="3" t="s">
        <v>16</v>
      </c>
      <c r="G6" s="3" t="s">
        <v>73</v>
      </c>
      <c r="H6" s="9" t="s">
        <v>74</v>
      </c>
      <c r="I6" s="3"/>
      <c r="J6" s="3"/>
      <c r="K6" s="3"/>
      <c r="L6" s="4" t="s">
        <v>75</v>
      </c>
      <c r="M6" s="3"/>
    </row>
    <row r="7" spans="1:14" ht="201.6">
      <c r="A7" s="1" t="s">
        <v>54</v>
      </c>
      <c r="B7" s="1" t="s">
        <v>201</v>
      </c>
      <c r="C7" s="19">
        <v>6</v>
      </c>
      <c r="D7" s="7" t="s">
        <v>77</v>
      </c>
      <c r="E7" s="3" t="s">
        <v>56</v>
      </c>
      <c r="F7" s="3" t="s">
        <v>16</v>
      </c>
      <c r="G7" s="3" t="s">
        <v>78</v>
      </c>
      <c r="H7" s="9" t="s">
        <v>23</v>
      </c>
      <c r="I7" s="14" t="s">
        <v>273</v>
      </c>
      <c r="J7" s="15" t="s">
        <v>59</v>
      </c>
      <c r="K7" s="3"/>
      <c r="L7" s="4" t="s">
        <v>82</v>
      </c>
      <c r="M7" s="23" t="s">
        <v>274</v>
      </c>
    </row>
    <row r="8" spans="1:14" ht="316.8">
      <c r="A8" s="11" t="s">
        <v>54</v>
      </c>
      <c r="B8" s="1" t="s">
        <v>201</v>
      </c>
      <c r="C8" s="19">
        <v>7</v>
      </c>
      <c r="D8" s="7" t="s">
        <v>85</v>
      </c>
      <c r="E8" s="3" t="s">
        <v>56</v>
      </c>
      <c r="F8" s="3" t="s">
        <v>16</v>
      </c>
      <c r="G8" s="3" t="s">
        <v>86</v>
      </c>
      <c r="H8" s="9" t="s">
        <v>87</v>
      </c>
      <c r="I8" s="14" t="s">
        <v>275</v>
      </c>
      <c r="J8" s="15" t="s">
        <v>59</v>
      </c>
      <c r="K8" s="3"/>
      <c r="L8" s="4" t="s">
        <v>89</v>
      </c>
      <c r="M8" s="23" t="s">
        <v>276</v>
      </c>
    </row>
    <row r="9" spans="1:14" ht="316.8">
      <c r="A9" s="1" t="s">
        <v>54</v>
      </c>
      <c r="B9" s="1" t="s">
        <v>201</v>
      </c>
      <c r="C9" s="19">
        <v>8</v>
      </c>
      <c r="D9" s="7" t="s">
        <v>92</v>
      </c>
      <c r="E9" s="3" t="s">
        <v>56</v>
      </c>
      <c r="F9" s="3" t="s">
        <v>16</v>
      </c>
      <c r="G9" s="3" t="s">
        <v>86</v>
      </c>
      <c r="H9" s="9" t="s">
        <v>87</v>
      </c>
      <c r="I9" s="14" t="s">
        <v>277</v>
      </c>
      <c r="J9" s="15" t="s">
        <v>59</v>
      </c>
      <c r="K9" s="3"/>
      <c r="L9" s="4" t="s">
        <v>89</v>
      </c>
      <c r="M9" s="23" t="s">
        <v>278</v>
      </c>
    </row>
    <row r="10" spans="1:14" ht="316.8">
      <c r="A10" s="11" t="s">
        <v>54</v>
      </c>
      <c r="B10" s="1" t="s">
        <v>201</v>
      </c>
      <c r="C10" s="19">
        <v>9</v>
      </c>
      <c r="D10" s="7" t="s">
        <v>96</v>
      </c>
      <c r="E10" s="3" t="s">
        <v>56</v>
      </c>
      <c r="F10" s="3" t="s">
        <v>16</v>
      </c>
      <c r="G10" s="3" t="s">
        <v>86</v>
      </c>
      <c r="H10" s="9" t="s">
        <v>87</v>
      </c>
      <c r="I10" s="14" t="s">
        <v>279</v>
      </c>
      <c r="J10" s="15" t="s">
        <v>59</v>
      </c>
      <c r="K10" s="3"/>
      <c r="L10" s="4" t="s">
        <v>89</v>
      </c>
      <c r="M10" s="23" t="s">
        <v>280</v>
      </c>
    </row>
    <row r="11" spans="1:14" ht="316.8">
      <c r="A11" s="1" t="s">
        <v>54</v>
      </c>
      <c r="B11" s="1" t="s">
        <v>201</v>
      </c>
      <c r="C11" s="19">
        <v>10</v>
      </c>
      <c r="D11" s="7" t="s">
        <v>98</v>
      </c>
      <c r="E11" s="3" t="s">
        <v>56</v>
      </c>
      <c r="F11" s="3" t="s">
        <v>16</v>
      </c>
      <c r="G11" s="3" t="s">
        <v>86</v>
      </c>
      <c r="H11" s="9" t="s">
        <v>87</v>
      </c>
      <c r="I11" s="14" t="s">
        <v>281</v>
      </c>
      <c r="J11" s="15" t="s">
        <v>59</v>
      </c>
      <c r="K11" s="3"/>
      <c r="L11" s="4" t="s">
        <v>89</v>
      </c>
      <c r="M11" s="23" t="s">
        <v>282</v>
      </c>
    </row>
    <row r="12" spans="1:14" ht="374.4">
      <c r="A12" s="11" t="s">
        <v>100</v>
      </c>
      <c r="B12" s="1" t="s">
        <v>201</v>
      </c>
      <c r="C12" s="19">
        <v>11</v>
      </c>
      <c r="D12" s="7" t="s">
        <v>101</v>
      </c>
      <c r="E12" s="3" t="s">
        <v>56</v>
      </c>
      <c r="F12" s="3" t="s">
        <v>16</v>
      </c>
      <c r="G12" s="3" t="s">
        <v>86</v>
      </c>
      <c r="H12" s="9" t="s">
        <v>102</v>
      </c>
      <c r="I12" s="14" t="s">
        <v>283</v>
      </c>
      <c r="J12" s="29" t="s">
        <v>80</v>
      </c>
      <c r="K12" s="19" t="s">
        <v>179</v>
      </c>
      <c r="L12" s="4" t="s">
        <v>89</v>
      </c>
      <c r="M12" s="23" t="s">
        <v>285</v>
      </c>
      <c r="N12" s="23" t="s">
        <v>286</v>
      </c>
    </row>
    <row r="13" spans="1:14" ht="374.4">
      <c r="A13" s="11" t="s">
        <v>54</v>
      </c>
      <c r="B13" s="1" t="s">
        <v>203</v>
      </c>
      <c r="C13" s="19">
        <v>12</v>
      </c>
      <c r="D13" s="7" t="s">
        <v>106</v>
      </c>
      <c r="E13" s="3" t="s">
        <v>56</v>
      </c>
      <c r="F13" s="3" t="s">
        <v>16</v>
      </c>
      <c r="G13" s="3" t="s">
        <v>107</v>
      </c>
      <c r="H13" s="9" t="s">
        <v>102</v>
      </c>
      <c r="I13" s="3" t="s">
        <v>160</v>
      </c>
      <c r="J13" s="15" t="s">
        <v>59</v>
      </c>
      <c r="K13" s="3"/>
      <c r="L13" s="4" t="s">
        <v>89</v>
      </c>
      <c r="M13" s="27" t="s">
        <v>287</v>
      </c>
    </row>
    <row r="14" spans="1:14" ht="374.4">
      <c r="A14" s="1" t="s">
        <v>54</v>
      </c>
      <c r="B14" s="1" t="s">
        <v>203</v>
      </c>
      <c r="C14" s="19">
        <v>13</v>
      </c>
      <c r="D14" s="7" t="s">
        <v>108</v>
      </c>
      <c r="E14" s="3" t="s">
        <v>56</v>
      </c>
      <c r="F14" s="3" t="s">
        <v>16</v>
      </c>
      <c r="G14" s="3" t="s">
        <v>107</v>
      </c>
      <c r="H14" s="9" t="s">
        <v>102</v>
      </c>
      <c r="I14" s="3" t="s">
        <v>160</v>
      </c>
      <c r="J14" s="15" t="s">
        <v>59</v>
      </c>
      <c r="K14" s="3"/>
      <c r="L14" s="4" t="s">
        <v>89</v>
      </c>
      <c r="M14" s="27" t="s">
        <v>288</v>
      </c>
    </row>
    <row r="15" spans="1:14" ht="374.4">
      <c r="A15" s="1" t="s">
        <v>100</v>
      </c>
      <c r="B15" s="1" t="s">
        <v>203</v>
      </c>
      <c r="C15" s="19">
        <v>14</v>
      </c>
      <c r="D15" s="7" t="s">
        <v>113</v>
      </c>
      <c r="E15" s="3" t="s">
        <v>56</v>
      </c>
      <c r="F15" s="3" t="s">
        <v>16</v>
      </c>
      <c r="G15" s="3" t="s">
        <v>107</v>
      </c>
      <c r="H15" s="9" t="s">
        <v>102</v>
      </c>
      <c r="I15" s="3" t="s">
        <v>160</v>
      </c>
      <c r="J15" s="15" t="s">
        <v>59</v>
      </c>
      <c r="K15" s="18"/>
      <c r="L15" s="4" t="s">
        <v>89</v>
      </c>
      <c r="M15" s="27" t="s">
        <v>289</v>
      </c>
    </row>
    <row r="16" spans="1:14" ht="230.4">
      <c r="C16" s="7">
        <v>15</v>
      </c>
      <c r="D16" s="7" t="s">
        <v>33</v>
      </c>
      <c r="E16" s="3" t="s">
        <v>56</v>
      </c>
      <c r="F16" s="3" t="s">
        <v>16</v>
      </c>
      <c r="G16" s="3" t="s">
        <v>63</v>
      </c>
      <c r="H16" s="9" t="s">
        <v>18</v>
      </c>
      <c r="I16" s="3"/>
      <c r="J16" s="3"/>
      <c r="K16" s="3"/>
      <c r="L16" s="4" t="s">
        <v>64</v>
      </c>
      <c r="M16" s="3"/>
    </row>
    <row r="17" spans="1:14" ht="230.4">
      <c r="C17" s="10">
        <v>16</v>
      </c>
      <c r="D17" s="10" t="s">
        <v>35</v>
      </c>
      <c r="E17" s="3" t="s">
        <v>56</v>
      </c>
      <c r="F17" s="3" t="s">
        <v>16</v>
      </c>
      <c r="G17" s="3" t="s">
        <v>63</v>
      </c>
      <c r="H17" s="9" t="s">
        <v>18</v>
      </c>
      <c r="I17" s="3"/>
      <c r="J17" s="3"/>
      <c r="K17" s="3"/>
      <c r="L17" s="4" t="s">
        <v>64</v>
      </c>
      <c r="M17" s="3"/>
    </row>
    <row r="18" spans="1:14" ht="230.4">
      <c r="A18" s="11"/>
      <c r="C18" s="10">
        <v>17</v>
      </c>
      <c r="D18" s="10" t="s">
        <v>115</v>
      </c>
      <c r="E18" s="3" t="s">
        <v>56</v>
      </c>
      <c r="F18" s="3" t="s">
        <v>16</v>
      </c>
      <c r="G18" s="3" t="s">
        <v>66</v>
      </c>
      <c r="H18" s="9" t="s">
        <v>40</v>
      </c>
      <c r="I18" s="3"/>
      <c r="J18" s="3"/>
      <c r="K18" s="3"/>
      <c r="L18" s="4" t="s">
        <v>67</v>
      </c>
      <c r="M18" s="3"/>
    </row>
    <row r="19" spans="1:14" ht="244.8">
      <c r="A19" s="11"/>
      <c r="B19" s="94" t="s">
        <v>116</v>
      </c>
      <c r="C19" s="10">
        <v>18</v>
      </c>
      <c r="D19" s="10" t="s">
        <v>117</v>
      </c>
      <c r="E19" s="3" t="s">
        <v>56</v>
      </c>
      <c r="F19" s="3" t="s">
        <v>16</v>
      </c>
      <c r="G19" s="3" t="s">
        <v>70</v>
      </c>
      <c r="H19" s="9" t="s">
        <v>42</v>
      </c>
      <c r="I19" s="3" t="s">
        <v>118</v>
      </c>
      <c r="J19" s="3" t="s">
        <v>80</v>
      </c>
      <c r="K19" s="3"/>
      <c r="L19" s="4" t="s">
        <v>71</v>
      </c>
      <c r="M19" s="3"/>
    </row>
    <row r="20" spans="1:14" ht="230.4">
      <c r="C20" s="10">
        <v>19</v>
      </c>
      <c r="D20" s="10" t="s">
        <v>119</v>
      </c>
      <c r="E20" s="3" t="s">
        <v>56</v>
      </c>
      <c r="F20" s="3" t="s">
        <v>16</v>
      </c>
      <c r="G20" s="3" t="s">
        <v>73</v>
      </c>
      <c r="H20" s="9" t="s">
        <v>74</v>
      </c>
      <c r="I20" s="3"/>
      <c r="J20" s="3"/>
      <c r="K20" s="3"/>
      <c r="L20" s="4" t="s">
        <v>75</v>
      </c>
      <c r="M20" s="3"/>
    </row>
    <row r="21" spans="1:14" ht="201.6">
      <c r="A21" s="1" t="s">
        <v>100</v>
      </c>
      <c r="B21" s="1" t="s">
        <v>203</v>
      </c>
      <c r="C21" s="19">
        <v>20</v>
      </c>
      <c r="D21" s="10" t="s">
        <v>120</v>
      </c>
      <c r="E21" s="3" t="s">
        <v>56</v>
      </c>
      <c r="F21" s="3" t="s">
        <v>16</v>
      </c>
      <c r="G21" s="3" t="s">
        <v>78</v>
      </c>
      <c r="H21" s="9" t="s">
        <v>23</v>
      </c>
      <c r="I21" s="3" t="s">
        <v>160</v>
      </c>
      <c r="J21" s="15" t="s">
        <v>59</v>
      </c>
      <c r="K21" s="24"/>
      <c r="L21" s="4" t="s">
        <v>82</v>
      </c>
      <c r="M21" s="27" t="s">
        <v>290</v>
      </c>
    </row>
    <row r="22" spans="1:14" ht="201.6">
      <c r="B22" s="1" t="s">
        <v>203</v>
      </c>
      <c r="C22" s="19">
        <v>21</v>
      </c>
      <c r="D22" s="10" t="s">
        <v>120</v>
      </c>
      <c r="E22" s="3" t="s">
        <v>56</v>
      </c>
      <c r="F22" s="3" t="s">
        <v>16</v>
      </c>
      <c r="G22" s="3" t="s">
        <v>78</v>
      </c>
      <c r="H22" s="9" t="s">
        <v>23</v>
      </c>
      <c r="I22" s="3" t="s">
        <v>160</v>
      </c>
      <c r="J22" s="15" t="s">
        <v>59</v>
      </c>
      <c r="K22" s="3"/>
      <c r="L22" s="4" t="s">
        <v>193</v>
      </c>
      <c r="M22" s="27" t="s">
        <v>291</v>
      </c>
    </row>
    <row r="23" spans="1:14" ht="316.8">
      <c r="B23" s="1" t="s">
        <v>203</v>
      </c>
      <c r="C23" s="19">
        <v>22</v>
      </c>
      <c r="D23" s="10" t="s">
        <v>124</v>
      </c>
      <c r="E23" s="3" t="s">
        <v>56</v>
      </c>
      <c r="F23" s="3" t="s">
        <v>16</v>
      </c>
      <c r="G23" s="3" t="s">
        <v>86</v>
      </c>
      <c r="H23" s="9" t="s">
        <v>87</v>
      </c>
      <c r="I23" s="3" t="s">
        <v>160</v>
      </c>
      <c r="J23" s="15" t="s">
        <v>59</v>
      </c>
      <c r="K23" s="3"/>
      <c r="L23" s="4" t="s">
        <v>89</v>
      </c>
      <c r="M23" s="27" t="s">
        <v>292</v>
      </c>
    </row>
    <row r="24" spans="1:14" ht="409.6">
      <c r="A24" s="11"/>
      <c r="B24" s="1" t="s">
        <v>203</v>
      </c>
      <c r="C24" s="19">
        <v>23</v>
      </c>
      <c r="D24" s="10" t="s">
        <v>128</v>
      </c>
      <c r="E24" s="3" t="s">
        <v>56</v>
      </c>
      <c r="F24" s="3" t="s">
        <v>16</v>
      </c>
      <c r="G24" s="3" t="s">
        <v>86</v>
      </c>
      <c r="H24" s="9" t="s">
        <v>87</v>
      </c>
      <c r="I24" s="14" t="s">
        <v>293</v>
      </c>
      <c r="J24" s="29" t="s">
        <v>80</v>
      </c>
      <c r="K24" s="3" t="s">
        <v>256</v>
      </c>
      <c r="L24" s="4" t="s">
        <v>89</v>
      </c>
      <c r="M24" s="27" t="s">
        <v>257</v>
      </c>
      <c r="N24" s="3" t="s">
        <v>258</v>
      </c>
    </row>
    <row r="25" spans="1:14" ht="316.8">
      <c r="A25" s="11" t="s">
        <v>130</v>
      </c>
      <c r="B25" s="1" t="s">
        <v>130</v>
      </c>
      <c r="C25" s="19">
        <v>24</v>
      </c>
      <c r="D25" s="10" t="s">
        <v>131</v>
      </c>
      <c r="E25" s="3" t="s">
        <v>56</v>
      </c>
      <c r="F25" s="3" t="s">
        <v>16</v>
      </c>
      <c r="G25" s="3" t="s">
        <v>86</v>
      </c>
      <c r="H25" s="9" t="s">
        <v>87</v>
      </c>
      <c r="I25" s="3" t="s">
        <v>294</v>
      </c>
      <c r="J25" s="28" t="s">
        <v>303</v>
      </c>
      <c r="K25" s="18"/>
      <c r="L25" s="4" t="s">
        <v>89</v>
      </c>
      <c r="M25" s="27" t="s">
        <v>295</v>
      </c>
    </row>
    <row r="26" spans="1:14" ht="316.8">
      <c r="B26" s="1" t="s">
        <v>130</v>
      </c>
      <c r="C26" s="19">
        <v>25</v>
      </c>
      <c r="D26" s="10" t="s">
        <v>196</v>
      </c>
      <c r="E26" s="3" t="s">
        <v>56</v>
      </c>
      <c r="F26" s="3" t="s">
        <v>16</v>
      </c>
      <c r="G26" s="3" t="s">
        <v>86</v>
      </c>
      <c r="H26" s="9" t="s">
        <v>87</v>
      </c>
      <c r="I26" s="3" t="s">
        <v>294</v>
      </c>
      <c r="J26" s="28" t="s">
        <v>303</v>
      </c>
      <c r="K26" s="3"/>
      <c r="L26" s="4" t="s">
        <v>89</v>
      </c>
      <c r="M26" s="27" t="s">
        <v>296</v>
      </c>
    </row>
    <row r="27" spans="1:14" ht="374.4">
      <c r="B27" s="1" t="s">
        <v>130</v>
      </c>
      <c r="C27" s="19">
        <v>26</v>
      </c>
      <c r="D27" s="10" t="s">
        <v>138</v>
      </c>
      <c r="E27" s="3" t="s">
        <v>56</v>
      </c>
      <c r="F27" s="3" t="s">
        <v>16</v>
      </c>
      <c r="G27" s="3" t="s">
        <v>86</v>
      </c>
      <c r="H27" s="9" t="s">
        <v>102</v>
      </c>
      <c r="I27" s="3" t="s">
        <v>294</v>
      </c>
      <c r="J27" s="28" t="s">
        <v>303</v>
      </c>
      <c r="K27" s="3"/>
      <c r="L27" s="4" t="s">
        <v>89</v>
      </c>
      <c r="M27" s="27" t="s">
        <v>297</v>
      </c>
    </row>
    <row r="28" spans="1:14" ht="374.4">
      <c r="B28" s="1" t="s">
        <v>130</v>
      </c>
      <c r="C28" s="19">
        <v>27</v>
      </c>
      <c r="D28" s="10" t="s">
        <v>141</v>
      </c>
      <c r="E28" s="3" t="s">
        <v>56</v>
      </c>
      <c r="F28" s="3" t="s">
        <v>16</v>
      </c>
      <c r="G28" s="3" t="s">
        <v>107</v>
      </c>
      <c r="H28" s="9" t="s">
        <v>102</v>
      </c>
      <c r="I28" s="3" t="s">
        <v>294</v>
      </c>
      <c r="J28" s="28" t="s">
        <v>303</v>
      </c>
      <c r="K28" s="3"/>
      <c r="L28" s="4" t="s">
        <v>89</v>
      </c>
      <c r="M28" s="27" t="s">
        <v>298</v>
      </c>
    </row>
    <row r="29" spans="1:14" ht="374.4">
      <c r="A29" s="11"/>
      <c r="B29" s="1" t="s">
        <v>130</v>
      </c>
      <c r="C29" s="19">
        <v>28</v>
      </c>
      <c r="D29" s="10" t="s">
        <v>142</v>
      </c>
      <c r="E29" s="3" t="s">
        <v>56</v>
      </c>
      <c r="F29" s="3" t="s">
        <v>16</v>
      </c>
      <c r="G29" s="3" t="s">
        <v>107</v>
      </c>
      <c r="H29" s="9" t="s">
        <v>102</v>
      </c>
      <c r="I29" s="3" t="s">
        <v>294</v>
      </c>
      <c r="J29" s="28" t="s">
        <v>303</v>
      </c>
      <c r="K29" s="3"/>
      <c r="L29" s="4" t="s">
        <v>89</v>
      </c>
      <c r="M29" s="27" t="s">
        <v>299</v>
      </c>
    </row>
    <row r="30" spans="1:14" ht="374.4">
      <c r="A30" s="11"/>
      <c r="B30" s="1" t="s">
        <v>130</v>
      </c>
      <c r="C30" s="19">
        <v>29</v>
      </c>
      <c r="D30" s="10" t="s">
        <v>146</v>
      </c>
      <c r="E30" s="3" t="s">
        <v>56</v>
      </c>
      <c r="F30" s="3" t="s">
        <v>16</v>
      </c>
      <c r="G30" s="3" t="s">
        <v>107</v>
      </c>
      <c r="H30" s="9" t="s">
        <v>102</v>
      </c>
      <c r="I30" s="3" t="s">
        <v>294</v>
      </c>
      <c r="J30" s="28" t="s">
        <v>303</v>
      </c>
      <c r="K30" s="3"/>
      <c r="L30" s="4" t="s">
        <v>89</v>
      </c>
      <c r="M30" s="27" t="s">
        <v>300</v>
      </c>
    </row>
    <row r="31" spans="1:14" ht="230.4">
      <c r="C31" s="12">
        <v>30</v>
      </c>
      <c r="D31" s="12" t="s">
        <v>46</v>
      </c>
      <c r="E31" s="13" t="s">
        <v>56</v>
      </c>
      <c r="F31" s="13" t="s">
        <v>16</v>
      </c>
      <c r="G31" s="13" t="s">
        <v>63</v>
      </c>
      <c r="H31" s="9" t="s">
        <v>18</v>
      </c>
      <c r="I31" s="3"/>
      <c r="J31" s="3"/>
      <c r="K31" s="3"/>
      <c r="L31" s="4" t="s">
        <v>64</v>
      </c>
      <c r="M31" s="3"/>
    </row>
    <row r="32" spans="1:14" ht="230.4">
      <c r="A32" s="11"/>
      <c r="B32" s="1" t="s">
        <v>130</v>
      </c>
      <c r="C32" s="19">
        <v>31</v>
      </c>
      <c r="D32" s="3" t="s">
        <v>47</v>
      </c>
      <c r="E32" s="3" t="s">
        <v>56</v>
      </c>
      <c r="F32" s="3" t="s">
        <v>16</v>
      </c>
      <c r="G32" s="3" t="s">
        <v>149</v>
      </c>
      <c r="H32" s="9" t="s">
        <v>18</v>
      </c>
      <c r="I32" s="3" t="s">
        <v>294</v>
      </c>
      <c r="J32" s="28" t="s">
        <v>303</v>
      </c>
      <c r="K32" s="3"/>
      <c r="L32" s="4" t="s">
        <v>151</v>
      </c>
      <c r="M32" s="27" t="s">
        <v>301</v>
      </c>
    </row>
    <row r="33" spans="1:13" ht="230.4">
      <c r="A33" s="11"/>
      <c r="B33" s="1" t="s">
        <v>130</v>
      </c>
      <c r="C33" s="19">
        <v>32</v>
      </c>
      <c r="D33" s="3" t="s">
        <v>49</v>
      </c>
      <c r="E33" s="3" t="s">
        <v>56</v>
      </c>
      <c r="F33" s="3" t="s">
        <v>16</v>
      </c>
      <c r="G33" s="3" t="s">
        <v>63</v>
      </c>
      <c r="H33" s="9" t="s">
        <v>18</v>
      </c>
      <c r="I33" s="3" t="s">
        <v>294</v>
      </c>
      <c r="J33" s="28" t="s">
        <v>303</v>
      </c>
      <c r="K33" s="3"/>
      <c r="L33" s="4" t="s">
        <v>154</v>
      </c>
      <c r="M33" s="27" t="s">
        <v>301</v>
      </c>
    </row>
  </sheetData>
  <autoFilter ref="A1:M33" xr:uid="{DCB37448-7794-4D71-83D8-79D0F3D93892}"/>
  <hyperlinks>
    <hyperlink ref="L2" r:id="rId1" xr:uid="{C2105727-388E-4540-8C9E-39E0FD914E24}"/>
    <hyperlink ref="L3:L5" r:id="rId2" display="https://app.clickup.com/t/8499449/APP-250" xr:uid="{B2C0F959-12A4-402E-88ED-2A871B4AF5B9}"/>
    <hyperlink ref="L6" r:id="rId3" display="https://app.clickup.com/t/8499449/APP-250" xr:uid="{A3C62331-A2F4-4D56-9389-45746A800072}"/>
    <hyperlink ref="L7:L12" r:id="rId4" display="https://app.clickup.com/t/8499449/APP-250" xr:uid="{9C74C3B6-6BCD-4301-9E59-0ED64D0EC3D3}"/>
    <hyperlink ref="L16" r:id="rId5" display="https://app.clickup.com/t/8499449/APP-250" xr:uid="{788B3E3F-0569-4CE6-882E-3CDE918A1F60}"/>
    <hyperlink ref="L8" r:id="rId6" display="https://app.clickup.com/t/8499449/APP-250" xr:uid="{CA0F1897-7389-4283-80A5-2B6160654469}"/>
    <hyperlink ref="L9" r:id="rId7" display="https://app.clickup.com/t/8499449/APP-250" xr:uid="{BDC1A8CF-8719-4F3E-A474-2984CB5817FF}"/>
    <hyperlink ref="L10" r:id="rId8" display="https://app.clickup.com/t/8499449/APP-250" xr:uid="{079B1851-9AA3-4C74-B872-E3E429A8E989}"/>
    <hyperlink ref="L11" r:id="rId9" display="https://app.clickup.com/t/8499449/APP-250" xr:uid="{8405B486-7158-44FA-B283-5882CE1EA0FE}"/>
    <hyperlink ref="L13" r:id="rId10" display="https://app.clickup.com/t/8499449/APP-250" xr:uid="{2A8EBF16-5FC6-4AC8-A4CA-D0B65D950AD1}"/>
    <hyperlink ref="L14" r:id="rId11" display="https://app.clickup.com/t/8499449/APP-250" xr:uid="{71D1AFEC-F169-44E7-B1A6-6DF034FE9100}"/>
    <hyperlink ref="L15" r:id="rId12" display="https://app.clickup.com/t/8499449/APP-250" xr:uid="{FEBF417B-635D-4655-8417-023E746BB886}"/>
    <hyperlink ref="L17:L19" r:id="rId13" display="https://app.clickup.com/t/8499449/APP-250" xr:uid="{3E0CA6E0-6F4F-4095-99C1-6496695FF6D0}"/>
    <hyperlink ref="L20" r:id="rId14" display="https://app.clickup.com/t/8499449/APP-250" xr:uid="{CDE646E3-831E-4453-84A6-2AF43B88BEBC}"/>
    <hyperlink ref="L21:L27" r:id="rId15" display="https://app.clickup.com/t/8499449/APP-250" xr:uid="{63D48A4F-CC82-4916-98EE-C4CDC7529B61}"/>
    <hyperlink ref="L31" r:id="rId16" display="https://app.clickup.com/t/8499449/APP-250" xr:uid="{AF3E2CCF-5387-4A47-826B-B860405696A4}"/>
    <hyperlink ref="L23" r:id="rId17" display="https://app.clickup.com/t/8499449/APP-250" xr:uid="{12B5B2DD-C247-424E-95D5-B2B9B36E452A}"/>
    <hyperlink ref="L24" r:id="rId18" display="https://app.clickup.com/t/8499449/APP-250" xr:uid="{F6EF4BFD-7B61-4C07-BCEA-324C57E582AD}"/>
    <hyperlink ref="L25" r:id="rId19" display="https://app.clickup.com/t/8499449/APP-250" xr:uid="{A5D4EAAB-5D87-4279-8520-6D24793A5001}"/>
    <hyperlink ref="L26" r:id="rId20" display="https://app.clickup.com/t/8499449/APP-250" xr:uid="{60856ABB-CCC3-472E-BD1C-F6F166C514BC}"/>
    <hyperlink ref="L28" r:id="rId21" display="https://app.clickup.com/t/8499449/APP-250" xr:uid="{C66DEA46-3DE7-409D-AED1-C99CCCC4EB35}"/>
    <hyperlink ref="L29" r:id="rId22" display="https://app.clickup.com/t/8499449/APP-250" xr:uid="{37A03FAB-EB02-4FC9-AE43-3D7E6747ED41}"/>
    <hyperlink ref="L30" r:id="rId23" display="https://app.clickup.com/t/8499449/APP-250" xr:uid="{BF41BAA5-7558-4AE1-A432-11A03A8BADAF}"/>
    <hyperlink ref="L32" r:id="rId24" display="https://app.clickup.com/t/8499449/APP-250" xr:uid="{D50A7D7F-F52C-4EF6-AF0E-093B50AC5EE2}"/>
    <hyperlink ref="L33" r:id="rId25" display="https://app.clickup.com/t/8499449/APP-250" xr:uid="{46C50E0D-499E-47C6-962D-C44DEF5A3B20}"/>
    <hyperlink ref="N12" r:id="rId26" xr:uid="{32DF5B37-4D62-4D58-BDEF-3745F6DA4340}"/>
    <hyperlink ref="M2" r:id="rId27" xr:uid="{1F4D9FA4-7995-49F9-8FF7-8019B989C861}"/>
    <hyperlink ref="M7" r:id="rId28" xr:uid="{42C5612C-8A27-4C86-9900-E2E5037FDE67}"/>
    <hyperlink ref="M13" r:id="rId29" xr:uid="{FC514DAC-9F8C-4BB0-B0F8-CA6BAE1F274B}"/>
    <hyperlink ref="M8" r:id="rId30" xr:uid="{5E40D18D-81CF-43EC-9FE9-C98E315CEBCE}"/>
    <hyperlink ref="M14" r:id="rId31" xr:uid="{C7D59C44-CEAF-49A3-9CF8-9A947F846122}"/>
    <hyperlink ref="M15" r:id="rId32" xr:uid="{B96F3CE6-0E03-4781-B714-9CA7B1751235}"/>
    <hyperlink ref="M25" r:id="rId33" xr:uid="{CF357391-EEB7-439B-BAC4-CF4DA3B80CBD}"/>
    <hyperlink ref="M26" r:id="rId34" xr:uid="{48D6860A-47A5-4716-B04E-B9651DDA58E5}"/>
    <hyperlink ref="M27" r:id="rId35" xr:uid="{6ABEBE88-3D7B-4CDC-9501-6CBC63362CB1}"/>
    <hyperlink ref="M28" r:id="rId36" xr:uid="{99FDD163-F716-4100-AF85-616F22179751}"/>
    <hyperlink ref="M29" r:id="rId37" xr:uid="{65632187-6D54-4475-ADC1-8EB30D925D29}"/>
    <hyperlink ref="M30" r:id="rId38" xr:uid="{297EDF00-56F9-450E-807E-DF7046518420}"/>
    <hyperlink ref="M32" r:id="rId39" xr:uid="{8B05F224-4862-4D62-80D9-866319CCD1DF}"/>
    <hyperlink ref="M33" r:id="rId40" xr:uid="{02BF2A19-BC05-4829-BCAD-2F5B4C803523}"/>
    <hyperlink ref="M9" r:id="rId41" xr:uid="{68190463-DD91-41D2-8D6C-0BF024F0016C}"/>
    <hyperlink ref="M21" r:id="rId42" xr:uid="{43818D02-42FA-4DF8-96AC-F28BB589B566}"/>
    <hyperlink ref="M10" r:id="rId43" xr:uid="{9BA236A0-049C-41B1-8735-553B6B552265}"/>
    <hyperlink ref="M23" r:id="rId44" xr:uid="{F6E35C4F-B701-4683-AEA6-E3D6B5976453}"/>
    <hyperlink ref="M22" r:id="rId45" xr:uid="{8C02CA1F-A748-4274-ACA6-FC873057CAF0}"/>
    <hyperlink ref="M11" r:id="rId46" xr:uid="{BF7F0E15-6157-4B5A-AB1A-0BA2A0240FA4}"/>
    <hyperlink ref="M24" r:id="rId47" xr:uid="{6AB3E387-784A-4884-BDDB-2627030E3267}"/>
    <hyperlink ref="M12" r:id="rId48" xr:uid="{299D8955-500A-4525-AE84-C4D90495810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21400-37A7-45CB-AB75-E80E51530A57}">
  <sheetPr filterMode="1"/>
  <dimension ref="A1:M33"/>
  <sheetViews>
    <sheetView workbookViewId="0">
      <pane ySplit="1" topLeftCell="A2" activePane="bottomLeft" state="frozen"/>
      <selection pane="bottomLeft" activeCell="J2" sqref="I2:J2"/>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ht="28.8">
      <c r="B1" s="1" t="s">
        <v>51</v>
      </c>
      <c r="C1" s="5" t="s">
        <v>0</v>
      </c>
      <c r="D1" s="6" t="s">
        <v>1</v>
      </c>
      <c r="E1" s="6" t="s">
        <v>2</v>
      </c>
      <c r="F1" s="6" t="s">
        <v>3</v>
      </c>
      <c r="G1" s="6" t="s">
        <v>4</v>
      </c>
      <c r="H1" s="8" t="s">
        <v>5</v>
      </c>
      <c r="I1" s="6" t="s">
        <v>52</v>
      </c>
      <c r="J1" s="6" t="s">
        <v>6</v>
      </c>
      <c r="K1" s="6" t="s">
        <v>7</v>
      </c>
      <c r="L1" s="6" t="s">
        <v>8</v>
      </c>
      <c r="M1" s="6" t="s">
        <v>53</v>
      </c>
    </row>
    <row r="2" spans="1:13" ht="144">
      <c r="A2" s="1" t="s">
        <v>54</v>
      </c>
      <c r="B2" s="1" t="s">
        <v>201</v>
      </c>
      <c r="C2" s="19">
        <v>1</v>
      </c>
      <c r="D2" s="3" t="s">
        <v>10</v>
      </c>
      <c r="E2" s="3" t="s">
        <v>56</v>
      </c>
      <c r="F2" s="3" t="s">
        <v>12</v>
      </c>
      <c r="G2" s="3" t="s">
        <v>57</v>
      </c>
      <c r="H2" s="9" t="s">
        <v>14</v>
      </c>
      <c r="I2" s="14" t="s">
        <v>270</v>
      </c>
      <c r="J2" s="15" t="s">
        <v>59</v>
      </c>
      <c r="K2" s="3"/>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c r="A7" s="1" t="s">
        <v>54</v>
      </c>
      <c r="B7" s="1" t="s">
        <v>54</v>
      </c>
      <c r="C7" s="19">
        <v>6</v>
      </c>
      <c r="D7" s="7" t="s">
        <v>77</v>
      </c>
      <c r="E7" s="3" t="s">
        <v>56</v>
      </c>
      <c r="F7" s="3" t="s">
        <v>16</v>
      </c>
      <c r="G7" s="3" t="s">
        <v>78</v>
      </c>
      <c r="H7" s="9" t="s">
        <v>23</v>
      </c>
      <c r="I7" s="3"/>
      <c r="J7" s="15" t="s">
        <v>59</v>
      </c>
      <c r="K7" s="3"/>
      <c r="L7" s="4" t="s">
        <v>82</v>
      </c>
      <c r="M7" s="17"/>
    </row>
    <row r="8" spans="1:13" ht="316.8">
      <c r="A8" s="11" t="s">
        <v>54</v>
      </c>
      <c r="B8" s="1" t="s">
        <v>201</v>
      </c>
      <c r="C8" s="19">
        <v>7</v>
      </c>
      <c r="D8" s="7" t="s">
        <v>85</v>
      </c>
      <c r="E8" s="3" t="s">
        <v>56</v>
      </c>
      <c r="F8" s="3" t="s">
        <v>16</v>
      </c>
      <c r="G8" s="3" t="s">
        <v>86</v>
      </c>
      <c r="H8" s="9" t="s">
        <v>87</v>
      </c>
      <c r="I8" s="3" t="s">
        <v>306</v>
      </c>
      <c r="J8" s="15" t="s">
        <v>59</v>
      </c>
      <c r="K8" s="3"/>
      <c r="L8" s="4" t="s">
        <v>89</v>
      </c>
      <c r="M8" s="3"/>
    </row>
    <row r="9" spans="1:13" ht="316.8">
      <c r="A9" s="1" t="s">
        <v>54</v>
      </c>
      <c r="B9" s="1" t="s">
        <v>54</v>
      </c>
      <c r="C9" s="19">
        <v>8</v>
      </c>
      <c r="D9" s="7" t="s">
        <v>92</v>
      </c>
      <c r="E9" s="3" t="s">
        <v>56</v>
      </c>
      <c r="F9" s="3" t="s">
        <v>16</v>
      </c>
      <c r="G9" s="3" t="s">
        <v>86</v>
      </c>
      <c r="H9" s="9" t="s">
        <v>87</v>
      </c>
      <c r="I9" s="3"/>
      <c r="J9" s="15" t="s">
        <v>59</v>
      </c>
      <c r="K9" s="3"/>
      <c r="L9" s="4" t="s">
        <v>89</v>
      </c>
      <c r="M9" s="3"/>
    </row>
    <row r="10" spans="1:13" ht="316.8">
      <c r="A10" s="11" t="s">
        <v>54</v>
      </c>
      <c r="B10" s="1" t="s">
        <v>201</v>
      </c>
      <c r="C10" s="19">
        <v>9</v>
      </c>
      <c r="D10" s="7" t="s">
        <v>96</v>
      </c>
      <c r="E10" s="3" t="s">
        <v>56</v>
      </c>
      <c r="F10" s="3" t="s">
        <v>16</v>
      </c>
      <c r="G10" s="3" t="s">
        <v>86</v>
      </c>
      <c r="H10" s="9" t="s">
        <v>87</v>
      </c>
      <c r="I10" s="3" t="s">
        <v>307</v>
      </c>
      <c r="J10" s="15" t="s">
        <v>59</v>
      </c>
      <c r="K10" s="3"/>
      <c r="L10" s="4" t="s">
        <v>89</v>
      </c>
      <c r="M10" s="3"/>
    </row>
    <row r="11" spans="1:13" ht="316.8">
      <c r="A11" s="1" t="s">
        <v>54</v>
      </c>
      <c r="B11" s="1" t="s">
        <v>54</v>
      </c>
      <c r="C11" s="19">
        <v>10</v>
      </c>
      <c r="D11" s="7" t="s">
        <v>98</v>
      </c>
      <c r="E11" s="3" t="s">
        <v>56</v>
      </c>
      <c r="F11" s="3" t="s">
        <v>16</v>
      </c>
      <c r="G11" s="3" t="s">
        <v>86</v>
      </c>
      <c r="H11" s="9" t="s">
        <v>87</v>
      </c>
      <c r="I11" s="3"/>
      <c r="J11" s="15" t="s">
        <v>59</v>
      </c>
      <c r="K11" s="3"/>
      <c r="L11" s="4" t="s">
        <v>89</v>
      </c>
      <c r="M11" s="3"/>
    </row>
    <row r="12" spans="1:13" ht="374.4">
      <c r="A12" s="11" t="s">
        <v>100</v>
      </c>
      <c r="B12" s="1" t="s">
        <v>201</v>
      </c>
      <c r="C12" s="19">
        <v>11</v>
      </c>
      <c r="D12" s="7" t="s">
        <v>101</v>
      </c>
      <c r="E12" s="3" t="s">
        <v>56</v>
      </c>
      <c r="F12" s="3" t="s">
        <v>16</v>
      </c>
      <c r="G12" s="3" t="s">
        <v>86</v>
      </c>
      <c r="H12" s="9" t="s">
        <v>102</v>
      </c>
      <c r="I12" s="3" t="s">
        <v>308</v>
      </c>
      <c r="J12" s="25" t="s">
        <v>80</v>
      </c>
      <c r="K12" s="19" t="s">
        <v>179</v>
      </c>
      <c r="L12" s="4" t="s">
        <v>89</v>
      </c>
      <c r="M12" s="23" t="s">
        <v>286</v>
      </c>
    </row>
    <row r="13" spans="1:13" ht="374.4">
      <c r="A13" s="11" t="s">
        <v>54</v>
      </c>
      <c r="B13" s="1" t="s">
        <v>54</v>
      </c>
      <c r="C13" s="19">
        <v>12</v>
      </c>
      <c r="D13" s="7" t="s">
        <v>106</v>
      </c>
      <c r="E13" s="3" t="s">
        <v>56</v>
      </c>
      <c r="F13" s="3" t="s">
        <v>16</v>
      </c>
      <c r="G13" s="3" t="s">
        <v>107</v>
      </c>
      <c r="H13" s="9" t="s">
        <v>102</v>
      </c>
      <c r="I13" s="3" t="s">
        <v>308</v>
      </c>
      <c r="J13" s="25" t="s">
        <v>80</v>
      </c>
      <c r="K13" s="3"/>
      <c r="L13" s="4" t="s">
        <v>89</v>
      </c>
      <c r="M13" s="3"/>
    </row>
    <row r="14" spans="1:13" ht="374.4">
      <c r="A14" s="1" t="s">
        <v>54</v>
      </c>
      <c r="B14" s="1" t="s">
        <v>201</v>
      </c>
      <c r="C14" s="19">
        <v>13</v>
      </c>
      <c r="D14" s="7" t="s">
        <v>108</v>
      </c>
      <c r="E14" s="3" t="s">
        <v>56</v>
      </c>
      <c r="F14" s="3" t="s">
        <v>16</v>
      </c>
      <c r="G14" s="3" t="s">
        <v>107</v>
      </c>
      <c r="H14" s="9" t="s">
        <v>102</v>
      </c>
      <c r="I14" s="3" t="s">
        <v>309</v>
      </c>
      <c r="J14" s="25" t="s">
        <v>80</v>
      </c>
      <c r="K14" s="19" t="s">
        <v>179</v>
      </c>
      <c r="L14" s="4" t="s">
        <v>89</v>
      </c>
      <c r="M14" s="23" t="s">
        <v>310</v>
      </c>
    </row>
    <row r="15" spans="1:13" ht="374.4">
      <c r="A15" s="1" t="s">
        <v>100</v>
      </c>
      <c r="B15" s="1" t="s">
        <v>54</v>
      </c>
      <c r="C15" s="19">
        <v>14</v>
      </c>
      <c r="D15" s="7" t="s">
        <v>113</v>
      </c>
      <c r="E15" s="3" t="s">
        <v>56</v>
      </c>
      <c r="F15" s="3" t="s">
        <v>16</v>
      </c>
      <c r="G15" s="3" t="s">
        <v>107</v>
      </c>
      <c r="H15" s="9" t="s">
        <v>102</v>
      </c>
      <c r="I15" s="3"/>
      <c r="J15" s="3"/>
      <c r="K15" s="18"/>
      <c r="L15" s="4" t="s">
        <v>89</v>
      </c>
      <c r="M15" s="17"/>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c r="A21" s="1" t="s">
        <v>100</v>
      </c>
      <c r="B21" s="1" t="s">
        <v>201</v>
      </c>
      <c r="C21" s="19">
        <v>20</v>
      </c>
      <c r="D21" s="10" t="s">
        <v>120</v>
      </c>
      <c r="E21" s="3" t="s">
        <v>56</v>
      </c>
      <c r="F21" s="3" t="s">
        <v>16</v>
      </c>
      <c r="G21" s="3" t="s">
        <v>78</v>
      </c>
      <c r="H21" s="9" t="s">
        <v>23</v>
      </c>
      <c r="I21" s="14" t="s">
        <v>311</v>
      </c>
      <c r="J21" s="15" t="s">
        <v>59</v>
      </c>
      <c r="K21" s="24"/>
      <c r="L21" s="4" t="s">
        <v>82</v>
      </c>
      <c r="M21" s="17"/>
    </row>
    <row r="22" spans="1:13" ht="201.6">
      <c r="B22" s="1" t="s">
        <v>54</v>
      </c>
      <c r="C22" s="19">
        <v>21</v>
      </c>
      <c r="D22" s="10" t="s">
        <v>120</v>
      </c>
      <c r="E22" s="3" t="s">
        <v>56</v>
      </c>
      <c r="F22" s="3" t="s">
        <v>16</v>
      </c>
      <c r="G22" s="3" t="s">
        <v>78</v>
      </c>
      <c r="H22" s="9" t="s">
        <v>23</v>
      </c>
      <c r="I22" s="26"/>
      <c r="J22" s="3"/>
      <c r="K22" s="3"/>
      <c r="L22" s="4" t="s">
        <v>193</v>
      </c>
      <c r="M22" s="3"/>
    </row>
    <row r="23" spans="1:13" ht="316.8">
      <c r="B23" s="1" t="s">
        <v>201</v>
      </c>
      <c r="C23" s="19">
        <v>22</v>
      </c>
      <c r="D23" s="10" t="s">
        <v>124</v>
      </c>
      <c r="E23" s="3" t="s">
        <v>56</v>
      </c>
      <c r="F23" s="3" t="s">
        <v>16</v>
      </c>
      <c r="G23" s="3" t="s">
        <v>86</v>
      </c>
      <c r="H23" s="9" t="s">
        <v>87</v>
      </c>
      <c r="I23" s="3" t="s">
        <v>312</v>
      </c>
      <c r="J23" s="15" t="s">
        <v>59</v>
      </c>
      <c r="K23" s="3"/>
      <c r="L23" s="4" t="s">
        <v>89</v>
      </c>
      <c r="M23" s="3"/>
    </row>
    <row r="24" spans="1:13" ht="316.8">
      <c r="A24" s="11"/>
      <c r="B24" s="1" t="s">
        <v>54</v>
      </c>
      <c r="C24" s="19">
        <v>23</v>
      </c>
      <c r="D24" s="10" t="s">
        <v>128</v>
      </c>
      <c r="E24" s="3" t="s">
        <v>56</v>
      </c>
      <c r="F24" s="3" t="s">
        <v>16</v>
      </c>
      <c r="G24" s="3" t="s">
        <v>86</v>
      </c>
      <c r="H24" s="9" t="s">
        <v>87</v>
      </c>
      <c r="I24" s="14"/>
      <c r="J24" s="15" t="s">
        <v>59</v>
      </c>
      <c r="K24" s="3"/>
      <c r="L24" s="4" t="s">
        <v>89</v>
      </c>
      <c r="M24" s="3"/>
    </row>
    <row r="25" spans="1:13" ht="316.8">
      <c r="A25" s="11" t="s">
        <v>130</v>
      </c>
      <c r="B25" s="1" t="s">
        <v>201</v>
      </c>
      <c r="C25" s="19">
        <v>24</v>
      </c>
      <c r="D25" s="10" t="s">
        <v>131</v>
      </c>
      <c r="E25" s="3" t="s">
        <v>56</v>
      </c>
      <c r="F25" s="3" t="s">
        <v>16</v>
      </c>
      <c r="G25" s="3" t="s">
        <v>86</v>
      </c>
      <c r="H25" s="9" t="s">
        <v>87</v>
      </c>
      <c r="I25" s="3" t="s">
        <v>313</v>
      </c>
      <c r="J25" s="15" t="s">
        <v>59</v>
      </c>
      <c r="K25" s="18"/>
      <c r="L25" s="4" t="s">
        <v>89</v>
      </c>
      <c r="M25" s="17"/>
    </row>
    <row r="26" spans="1:13" ht="316.8">
      <c r="B26" s="1" t="s">
        <v>54</v>
      </c>
      <c r="C26" s="19">
        <v>25</v>
      </c>
      <c r="D26" s="10" t="s">
        <v>196</v>
      </c>
      <c r="E26" s="3" t="s">
        <v>56</v>
      </c>
      <c r="F26" s="3" t="s">
        <v>16</v>
      </c>
      <c r="G26" s="3" t="s">
        <v>86</v>
      </c>
      <c r="H26" s="9" t="s">
        <v>87</v>
      </c>
      <c r="I26" s="3"/>
      <c r="J26" s="15" t="s">
        <v>59</v>
      </c>
      <c r="K26" s="3"/>
      <c r="L26" s="4" t="s">
        <v>89</v>
      </c>
      <c r="M26" s="3"/>
    </row>
    <row r="27" spans="1:13" ht="374.4">
      <c r="B27" s="1" t="s">
        <v>201</v>
      </c>
      <c r="C27" s="19">
        <v>26</v>
      </c>
      <c r="D27" s="10" t="s">
        <v>138</v>
      </c>
      <c r="E27" s="3" t="s">
        <v>56</v>
      </c>
      <c r="F27" s="3" t="s">
        <v>16</v>
      </c>
      <c r="G27" s="3" t="s">
        <v>86</v>
      </c>
      <c r="H27" s="9" t="s">
        <v>102</v>
      </c>
      <c r="I27" s="3" t="s">
        <v>308</v>
      </c>
      <c r="J27" s="25" t="s">
        <v>80</v>
      </c>
      <c r="K27" s="19" t="s">
        <v>179</v>
      </c>
      <c r="L27" s="4" t="s">
        <v>89</v>
      </c>
      <c r="M27" s="23" t="s">
        <v>314</v>
      </c>
    </row>
    <row r="28" spans="1:13" ht="374.4">
      <c r="B28" s="1" t="s">
        <v>54</v>
      </c>
      <c r="C28" s="19">
        <v>27</v>
      </c>
      <c r="D28" s="10" t="s">
        <v>141</v>
      </c>
      <c r="E28" s="3" t="s">
        <v>56</v>
      </c>
      <c r="F28" s="3" t="s">
        <v>16</v>
      </c>
      <c r="G28" s="3" t="s">
        <v>107</v>
      </c>
      <c r="H28" s="9" t="s">
        <v>102</v>
      </c>
      <c r="I28" s="3"/>
      <c r="J28" s="15" t="s">
        <v>59</v>
      </c>
      <c r="K28" s="3"/>
      <c r="L28" s="4" t="s">
        <v>89</v>
      </c>
      <c r="M28" s="3"/>
    </row>
    <row r="29" spans="1:13" ht="374.4">
      <c r="A29" s="11"/>
      <c r="B29" s="1" t="s">
        <v>201</v>
      </c>
      <c r="C29" s="19">
        <v>28</v>
      </c>
      <c r="D29" s="10" t="s">
        <v>142</v>
      </c>
      <c r="E29" s="3" t="s">
        <v>56</v>
      </c>
      <c r="F29" s="3" t="s">
        <v>16</v>
      </c>
      <c r="G29" s="3" t="s">
        <v>107</v>
      </c>
      <c r="H29" s="9" t="s">
        <v>102</v>
      </c>
      <c r="I29" s="3" t="s">
        <v>308</v>
      </c>
      <c r="J29" s="25" t="s">
        <v>80</v>
      </c>
      <c r="K29" s="19" t="s">
        <v>179</v>
      </c>
      <c r="L29" s="4" t="s">
        <v>89</v>
      </c>
      <c r="M29" s="23" t="s">
        <v>315</v>
      </c>
    </row>
    <row r="30" spans="1:13" ht="374.4">
      <c r="A30" s="11"/>
      <c r="B30" s="1" t="s">
        <v>54</v>
      </c>
      <c r="C30" s="19">
        <v>29</v>
      </c>
      <c r="D30" s="10" t="s">
        <v>146</v>
      </c>
      <c r="E30" s="3" t="s">
        <v>56</v>
      </c>
      <c r="F30" s="3" t="s">
        <v>16</v>
      </c>
      <c r="G30" s="3" t="s">
        <v>107</v>
      </c>
      <c r="H30" s="9" t="s">
        <v>102</v>
      </c>
      <c r="I30" s="3"/>
      <c r="J30" s="15" t="s">
        <v>59</v>
      </c>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54</v>
      </c>
      <c r="C32" s="19">
        <v>31</v>
      </c>
      <c r="D32" s="3" t="s">
        <v>47</v>
      </c>
      <c r="E32" s="3" t="s">
        <v>56</v>
      </c>
      <c r="F32" s="3" t="s">
        <v>16</v>
      </c>
      <c r="G32" s="3" t="s">
        <v>149</v>
      </c>
      <c r="H32" s="9" t="s">
        <v>18</v>
      </c>
      <c r="I32" s="3"/>
      <c r="J32" s="15" t="s">
        <v>59</v>
      </c>
      <c r="K32" s="3"/>
      <c r="L32" s="4" t="s">
        <v>151</v>
      </c>
      <c r="M32" s="3"/>
    </row>
    <row r="33" spans="1:13" ht="230.4">
      <c r="A33" s="11"/>
      <c r="B33" s="1" t="s">
        <v>201</v>
      </c>
      <c r="C33" s="19">
        <v>32</v>
      </c>
      <c r="D33" s="3" t="s">
        <v>49</v>
      </c>
      <c r="E33" s="3" t="s">
        <v>56</v>
      </c>
      <c r="F33" s="3" t="s">
        <v>16</v>
      </c>
      <c r="G33" s="3" t="s">
        <v>63</v>
      </c>
      <c r="H33" s="9" t="s">
        <v>18</v>
      </c>
      <c r="I33" s="3" t="s">
        <v>316</v>
      </c>
      <c r="J33" s="15" t="s">
        <v>59</v>
      </c>
      <c r="K33" s="3"/>
      <c r="L33" s="4" t="s">
        <v>154</v>
      </c>
      <c r="M33" s="3"/>
    </row>
  </sheetData>
  <autoFilter ref="A1:M33" xr:uid="{DCB37448-7794-4D71-83D8-79D0F3D93892}">
    <filterColumn colId="2">
      <colorFilter dxfId="3"/>
    </filterColumn>
  </autoFilter>
  <hyperlinks>
    <hyperlink ref="L2" r:id="rId1" xr:uid="{4F056F26-D2E7-45C8-A461-D3F24F0A26BB}"/>
    <hyperlink ref="L3:L5" r:id="rId2" display="https://app.clickup.com/t/8499449/APP-250" xr:uid="{339AF5C0-8D18-48A5-9660-52F7AFFC29A3}"/>
    <hyperlink ref="L6" r:id="rId3" display="https://app.clickup.com/t/8499449/APP-250" xr:uid="{1AA02966-EF21-45BB-BDB3-F1A9BBED53FC}"/>
    <hyperlink ref="L7:L12" r:id="rId4" display="https://app.clickup.com/t/8499449/APP-250" xr:uid="{253A0B8E-6EEC-4E0F-A9B5-3E22424F9F48}"/>
    <hyperlink ref="L16" r:id="rId5" display="https://app.clickup.com/t/8499449/APP-250" xr:uid="{A2C156F2-7C1A-49C2-810D-256390B672CD}"/>
    <hyperlink ref="L8" r:id="rId6" display="https://app.clickup.com/t/8499449/APP-250" xr:uid="{9D8C195B-8815-4D79-8542-59FF8E5F52DB}"/>
    <hyperlink ref="L9" r:id="rId7" display="https://app.clickup.com/t/8499449/APP-250" xr:uid="{1DF9746A-D1FD-46B3-9E79-DBA1E2371A59}"/>
    <hyperlink ref="L10" r:id="rId8" display="https://app.clickup.com/t/8499449/APP-250" xr:uid="{7B0B918F-ED79-4B81-A19A-C905D2487695}"/>
    <hyperlink ref="L11" r:id="rId9" display="https://app.clickup.com/t/8499449/APP-250" xr:uid="{6B835984-B476-47A2-B290-A77AD478D5B7}"/>
    <hyperlink ref="L13" r:id="rId10" display="https://app.clickup.com/t/8499449/APP-250" xr:uid="{9F7F7FD9-C18D-4ADE-8696-42E922F2B088}"/>
    <hyperlink ref="L14" r:id="rId11" display="https://app.clickup.com/t/8499449/APP-250" xr:uid="{D89DD087-9934-4210-9768-D80277A0E8A2}"/>
    <hyperlink ref="L15" r:id="rId12" display="https://app.clickup.com/t/8499449/APP-250" xr:uid="{21D4C678-CB14-479B-86AE-F68176DB2FA1}"/>
    <hyperlink ref="L17:L19" r:id="rId13" display="https://app.clickup.com/t/8499449/APP-250" xr:uid="{8FA5A0AC-5726-4F53-8EA0-35D823D05B1A}"/>
    <hyperlink ref="L20" r:id="rId14" display="https://app.clickup.com/t/8499449/APP-250" xr:uid="{C4389E01-C851-4D4F-9EEC-222EDE37B9D3}"/>
    <hyperlink ref="L21:L27" r:id="rId15" display="https://app.clickup.com/t/8499449/APP-250" xr:uid="{D9FFD189-5701-4E26-ADA5-E5AB3842AF92}"/>
    <hyperlink ref="L31" r:id="rId16" display="https://app.clickup.com/t/8499449/APP-250" xr:uid="{C900CE23-AF97-4855-AA18-BD00EDB853C5}"/>
    <hyperlink ref="L23" r:id="rId17" display="https://app.clickup.com/t/8499449/APP-250" xr:uid="{66827C72-305B-43E0-851A-210C5078517A}"/>
    <hyperlink ref="L24" r:id="rId18" display="https://app.clickup.com/t/8499449/APP-250" xr:uid="{98798577-2CBF-4E2D-935C-9172E97477B5}"/>
    <hyperlink ref="L25" r:id="rId19" display="https://app.clickup.com/t/8499449/APP-250" xr:uid="{53156DBA-D6BD-4737-9082-C73CC5231977}"/>
    <hyperlink ref="L26" r:id="rId20" display="https://app.clickup.com/t/8499449/APP-250" xr:uid="{CF00A643-4DFE-4A9B-A064-052C68D427BB}"/>
    <hyperlink ref="L28" r:id="rId21" display="https://app.clickup.com/t/8499449/APP-250" xr:uid="{5B4DC9E0-0277-48F5-8E16-6D94B8F0A0C6}"/>
    <hyperlink ref="L29" r:id="rId22" display="https://app.clickup.com/t/8499449/APP-250" xr:uid="{E6512ECF-0795-4AE6-9DA3-9D3CAE221D32}"/>
    <hyperlink ref="L30" r:id="rId23" display="https://app.clickup.com/t/8499449/APP-250" xr:uid="{42BB15ED-15D8-43E9-AD92-0114A619A52A}"/>
    <hyperlink ref="L32" r:id="rId24" display="https://app.clickup.com/t/8499449/APP-250" xr:uid="{D91A85E4-BEF4-4DDC-88F3-11750F64C07B}"/>
    <hyperlink ref="L33" r:id="rId25" display="https://app.clickup.com/t/8499449/APP-250" xr:uid="{E56A223A-12E7-4773-8ECD-146DC6C8BBC2}"/>
    <hyperlink ref="M12" r:id="rId26" xr:uid="{AA2FF2A5-3560-45BB-9226-4D0712E7D78D}"/>
    <hyperlink ref="M14" r:id="rId27" xr:uid="{91F95095-3F82-4233-B1A0-63590635DA66}"/>
    <hyperlink ref="M27" r:id="rId28" xr:uid="{E27C88C4-3E06-4EC5-B21A-677A5438F97C}"/>
    <hyperlink ref="M29" r:id="rId29" xr:uid="{6D638F48-423E-41A2-A62C-A9FBA36213A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80E1-D096-4AA5-AD9A-02A7B8F61FD8}">
  <sheetPr filterMode="1"/>
  <dimension ref="A1:M33"/>
  <sheetViews>
    <sheetView workbookViewId="0">
      <pane ySplit="1" topLeftCell="A26" activePane="bottomLeft" state="frozen"/>
      <selection pane="bottomLeft" activeCell="F26" sqref="F26"/>
    </sheetView>
  </sheetViews>
  <sheetFormatPr baseColWidth="10" defaultColWidth="11.44140625" defaultRowHeight="14.4"/>
  <cols>
    <col min="1" max="1" width="0" style="1" hidden="1" customWidth="1"/>
    <col min="2"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ht="28.8">
      <c r="B1" s="1" t="s">
        <v>51</v>
      </c>
      <c r="C1" s="5" t="s">
        <v>0</v>
      </c>
      <c r="D1" s="6" t="s">
        <v>1</v>
      </c>
      <c r="E1" s="6" t="s">
        <v>2</v>
      </c>
      <c r="F1" s="6" t="s">
        <v>3</v>
      </c>
      <c r="G1" s="6" t="s">
        <v>4</v>
      </c>
      <c r="H1" s="8" t="s">
        <v>5</v>
      </c>
      <c r="I1" s="6" t="s">
        <v>52</v>
      </c>
      <c r="J1" s="6" t="s">
        <v>6</v>
      </c>
      <c r="K1" s="6" t="s">
        <v>7</v>
      </c>
      <c r="L1" s="6" t="s">
        <v>8</v>
      </c>
      <c r="M1" s="6" t="s">
        <v>53</v>
      </c>
    </row>
    <row r="2" spans="1:13" ht="144" hidden="1">
      <c r="A2" s="1" t="s">
        <v>54</v>
      </c>
      <c r="B2" s="1" t="s">
        <v>201</v>
      </c>
      <c r="C2" s="19">
        <v>1</v>
      </c>
      <c r="D2" s="3" t="s">
        <v>10</v>
      </c>
      <c r="E2" s="3" t="s">
        <v>56</v>
      </c>
      <c r="F2" s="3" t="s">
        <v>12</v>
      </c>
      <c r="G2" s="3" t="s">
        <v>57</v>
      </c>
      <c r="H2" s="9" t="s">
        <v>14</v>
      </c>
      <c r="I2" s="14" t="s">
        <v>317</v>
      </c>
      <c r="J2" s="15" t="s">
        <v>303</v>
      </c>
      <c r="K2" s="15"/>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hidden="1">
      <c r="A7" s="1" t="s">
        <v>54</v>
      </c>
      <c r="B7" s="1" t="s">
        <v>130</v>
      </c>
      <c r="C7" s="19">
        <v>6</v>
      </c>
      <c r="D7" s="7" t="s">
        <v>77</v>
      </c>
      <c r="E7" s="3" t="s">
        <v>56</v>
      </c>
      <c r="F7" s="3" t="s">
        <v>16</v>
      </c>
      <c r="G7" s="3" t="s">
        <v>78</v>
      </c>
      <c r="H7" s="9" t="s">
        <v>23</v>
      </c>
      <c r="I7" s="3" t="s">
        <v>318</v>
      </c>
      <c r="J7" s="15" t="s">
        <v>303</v>
      </c>
      <c r="K7" s="15"/>
      <c r="L7" s="4" t="s">
        <v>82</v>
      </c>
      <c r="M7" s="17"/>
    </row>
    <row r="8" spans="1:13" ht="316.8" hidden="1">
      <c r="A8" s="11" t="s">
        <v>54</v>
      </c>
      <c r="B8" s="1" t="s">
        <v>201</v>
      </c>
      <c r="C8" s="19">
        <v>7</v>
      </c>
      <c r="D8" s="7" t="s">
        <v>85</v>
      </c>
      <c r="E8" s="3" t="s">
        <v>56</v>
      </c>
      <c r="F8" s="3" t="s">
        <v>16</v>
      </c>
      <c r="G8" s="3" t="s">
        <v>86</v>
      </c>
      <c r="H8" s="9" t="s">
        <v>87</v>
      </c>
      <c r="I8" s="3" t="s">
        <v>319</v>
      </c>
      <c r="J8" s="15" t="s">
        <v>303</v>
      </c>
      <c r="K8" s="3"/>
      <c r="L8" s="4" t="s">
        <v>89</v>
      </c>
      <c r="M8" s="3"/>
    </row>
    <row r="9" spans="1:13" ht="316.8" hidden="1">
      <c r="A9" s="1" t="s">
        <v>54</v>
      </c>
      <c r="B9" s="1" t="s">
        <v>130</v>
      </c>
      <c r="C9" s="19">
        <v>8</v>
      </c>
      <c r="D9" s="7" t="s">
        <v>92</v>
      </c>
      <c r="E9" s="3" t="s">
        <v>56</v>
      </c>
      <c r="F9" s="3" t="s">
        <v>16</v>
      </c>
      <c r="G9" s="3" t="s">
        <v>86</v>
      </c>
      <c r="H9" s="9" t="s">
        <v>87</v>
      </c>
      <c r="I9" s="3" t="s">
        <v>320</v>
      </c>
      <c r="J9" s="15" t="s">
        <v>303</v>
      </c>
      <c r="K9" s="15"/>
      <c r="L9" s="4" t="s">
        <v>89</v>
      </c>
      <c r="M9" s="3"/>
    </row>
    <row r="10" spans="1:13" ht="316.8" hidden="1">
      <c r="A10" s="11" t="s">
        <v>54</v>
      </c>
      <c r="B10" s="1" t="s">
        <v>201</v>
      </c>
      <c r="C10" s="19">
        <v>9</v>
      </c>
      <c r="D10" s="7" t="s">
        <v>96</v>
      </c>
      <c r="E10" s="3" t="s">
        <v>56</v>
      </c>
      <c r="F10" s="3" t="s">
        <v>16</v>
      </c>
      <c r="G10" s="3" t="s">
        <v>86</v>
      </c>
      <c r="H10" s="9" t="s">
        <v>87</v>
      </c>
      <c r="I10" s="3" t="s">
        <v>321</v>
      </c>
      <c r="J10" s="15" t="s">
        <v>303</v>
      </c>
      <c r="K10" s="15"/>
      <c r="L10" s="4" t="s">
        <v>89</v>
      </c>
      <c r="M10" s="3"/>
    </row>
    <row r="11" spans="1:13" ht="316.8" hidden="1">
      <c r="A11" s="1" t="s">
        <v>54</v>
      </c>
      <c r="B11" s="1" t="s">
        <v>130</v>
      </c>
      <c r="C11" s="19">
        <v>10</v>
      </c>
      <c r="D11" s="7" t="s">
        <v>98</v>
      </c>
      <c r="E11" s="3" t="s">
        <v>56</v>
      </c>
      <c r="F11" s="3" t="s">
        <v>16</v>
      </c>
      <c r="G11" s="3" t="s">
        <v>86</v>
      </c>
      <c r="H11" s="9" t="s">
        <v>87</v>
      </c>
      <c r="I11" s="3" t="s">
        <v>322</v>
      </c>
      <c r="J11" s="15" t="s">
        <v>303</v>
      </c>
      <c r="K11" s="15"/>
      <c r="L11" s="4" t="s">
        <v>89</v>
      </c>
      <c r="M11" s="3"/>
    </row>
    <row r="12" spans="1:13" ht="374.4" hidden="1">
      <c r="A12" s="11" t="s">
        <v>100</v>
      </c>
      <c r="B12" s="1" t="s">
        <v>201</v>
      </c>
      <c r="C12" s="19">
        <v>11</v>
      </c>
      <c r="D12" s="7" t="s">
        <v>101</v>
      </c>
      <c r="E12" s="3" t="s">
        <v>56</v>
      </c>
      <c r="F12" s="3" t="s">
        <v>16</v>
      </c>
      <c r="G12" s="3" t="s">
        <v>86</v>
      </c>
      <c r="H12" s="9" t="s">
        <v>102</v>
      </c>
      <c r="I12" s="3" t="s">
        <v>323</v>
      </c>
      <c r="J12" s="15" t="s">
        <v>303</v>
      </c>
      <c r="K12" s="15"/>
      <c r="L12" s="4" t="s">
        <v>89</v>
      </c>
      <c r="M12" s="17"/>
    </row>
    <row r="13" spans="1:13" ht="374.4" hidden="1">
      <c r="A13" s="11" t="s">
        <v>54</v>
      </c>
      <c r="B13" s="1" t="s">
        <v>130</v>
      </c>
      <c r="C13" s="19">
        <v>12</v>
      </c>
      <c r="D13" s="7" t="s">
        <v>106</v>
      </c>
      <c r="E13" s="3" t="s">
        <v>56</v>
      </c>
      <c r="F13" s="3" t="s">
        <v>16</v>
      </c>
      <c r="G13" s="3" t="s">
        <v>107</v>
      </c>
      <c r="H13" s="9" t="s">
        <v>102</v>
      </c>
      <c r="I13" s="3" t="s">
        <v>324</v>
      </c>
      <c r="J13" s="15" t="s">
        <v>303</v>
      </c>
      <c r="K13" s="3"/>
      <c r="L13" s="4" t="s">
        <v>89</v>
      </c>
      <c r="M13" s="3"/>
    </row>
    <row r="14" spans="1:13" ht="374.4" hidden="1">
      <c r="A14" s="1" t="s">
        <v>54</v>
      </c>
      <c r="B14" s="1" t="s">
        <v>201</v>
      </c>
      <c r="C14" s="19">
        <v>13</v>
      </c>
      <c r="D14" s="7" t="s">
        <v>108</v>
      </c>
      <c r="E14" s="3" t="s">
        <v>56</v>
      </c>
      <c r="F14" s="3" t="s">
        <v>16</v>
      </c>
      <c r="G14" s="3" t="s">
        <v>107</v>
      </c>
      <c r="H14" s="9" t="s">
        <v>102</v>
      </c>
      <c r="I14" s="14" t="s">
        <v>325</v>
      </c>
      <c r="J14" s="15" t="s">
        <v>303</v>
      </c>
      <c r="K14" s="16"/>
      <c r="L14" s="4" t="s">
        <v>89</v>
      </c>
      <c r="M14" s="3"/>
    </row>
    <row r="15" spans="1:13" ht="374.4" hidden="1">
      <c r="A15" s="1" t="s">
        <v>100</v>
      </c>
      <c r="B15" s="1" t="s">
        <v>130</v>
      </c>
      <c r="C15" s="19">
        <v>14</v>
      </c>
      <c r="D15" s="7" t="s">
        <v>113</v>
      </c>
      <c r="E15" s="3" t="s">
        <v>56</v>
      </c>
      <c r="F15" s="3" t="s">
        <v>16</v>
      </c>
      <c r="G15" s="3" t="s">
        <v>107</v>
      </c>
      <c r="H15" s="9" t="s">
        <v>102</v>
      </c>
      <c r="I15" s="3" t="s">
        <v>326</v>
      </c>
      <c r="J15" s="15" t="s">
        <v>303</v>
      </c>
      <c r="K15" s="18"/>
      <c r="L15" s="4" t="s">
        <v>89</v>
      </c>
      <c r="M15" s="17"/>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hidden="1">
      <c r="A21" s="1" t="s">
        <v>100</v>
      </c>
      <c r="B21" s="1" t="s">
        <v>201</v>
      </c>
      <c r="C21" s="19">
        <v>20</v>
      </c>
      <c r="D21" s="10" t="s">
        <v>120</v>
      </c>
      <c r="E21" s="3" t="s">
        <v>56</v>
      </c>
      <c r="F21" s="3" t="s">
        <v>16</v>
      </c>
      <c r="G21" s="3" t="s">
        <v>78</v>
      </c>
      <c r="H21" s="9" t="s">
        <v>23</v>
      </c>
      <c r="I21" s="14" t="s">
        <v>327</v>
      </c>
      <c r="J21" s="15" t="s">
        <v>303</v>
      </c>
      <c r="K21" s="16"/>
      <c r="L21" s="4" t="s">
        <v>82</v>
      </c>
      <c r="M21" s="17"/>
    </row>
    <row r="22" spans="1:13" ht="201.6" hidden="1">
      <c r="B22" s="1" t="s">
        <v>130</v>
      </c>
      <c r="C22" s="19">
        <v>21</v>
      </c>
      <c r="D22" s="10" t="s">
        <v>120</v>
      </c>
      <c r="E22" s="3" t="s">
        <v>56</v>
      </c>
      <c r="F22" s="3" t="s">
        <v>16</v>
      </c>
      <c r="G22" s="3" t="s">
        <v>78</v>
      </c>
      <c r="H22" s="9" t="s">
        <v>23</v>
      </c>
      <c r="I22" s="14" t="s">
        <v>328</v>
      </c>
      <c r="J22" s="15" t="s">
        <v>303</v>
      </c>
      <c r="K22" s="3"/>
      <c r="L22" s="4" t="s">
        <v>193</v>
      </c>
      <c r="M22" s="3"/>
    </row>
    <row r="23" spans="1:13" ht="316.8" hidden="1">
      <c r="B23" s="1" t="s">
        <v>201</v>
      </c>
      <c r="C23" s="19">
        <v>22</v>
      </c>
      <c r="D23" s="10" t="s">
        <v>124</v>
      </c>
      <c r="E23" s="3" t="s">
        <v>56</v>
      </c>
      <c r="F23" s="3" t="s">
        <v>16</v>
      </c>
      <c r="G23" s="3" t="s">
        <v>86</v>
      </c>
      <c r="H23" s="9" t="s">
        <v>87</v>
      </c>
      <c r="I23" s="3" t="s">
        <v>329</v>
      </c>
      <c r="J23" s="15" t="s">
        <v>303</v>
      </c>
      <c r="K23" s="3"/>
      <c r="L23" s="4" t="s">
        <v>89</v>
      </c>
      <c r="M23" s="3"/>
    </row>
    <row r="24" spans="1:13" ht="316.8" hidden="1">
      <c r="A24" s="11"/>
      <c r="B24" s="1" t="s">
        <v>130</v>
      </c>
      <c r="C24" s="19">
        <v>23</v>
      </c>
      <c r="D24" s="10" t="s">
        <v>128</v>
      </c>
      <c r="E24" s="3" t="s">
        <v>56</v>
      </c>
      <c r="F24" s="3" t="s">
        <v>16</v>
      </c>
      <c r="G24" s="3" t="s">
        <v>86</v>
      </c>
      <c r="H24" s="9" t="s">
        <v>87</v>
      </c>
      <c r="I24" s="14" t="s">
        <v>330</v>
      </c>
      <c r="J24" s="15" t="s">
        <v>303</v>
      </c>
      <c r="K24" s="3"/>
      <c r="L24" s="4" t="s">
        <v>89</v>
      </c>
      <c r="M24" s="3"/>
    </row>
    <row r="25" spans="1:13" ht="316.8" hidden="1">
      <c r="A25" s="11" t="s">
        <v>130</v>
      </c>
      <c r="B25" s="1" t="s">
        <v>201</v>
      </c>
      <c r="C25" s="19">
        <v>24</v>
      </c>
      <c r="D25" s="10" t="s">
        <v>131</v>
      </c>
      <c r="E25" s="3" t="s">
        <v>56</v>
      </c>
      <c r="F25" s="3" t="s">
        <v>16</v>
      </c>
      <c r="G25" s="3" t="s">
        <v>86</v>
      </c>
      <c r="H25" s="9" t="s">
        <v>87</v>
      </c>
      <c r="I25" s="3" t="s">
        <v>331</v>
      </c>
      <c r="J25" s="20" t="s">
        <v>303</v>
      </c>
      <c r="K25" s="18"/>
      <c r="L25" s="4" t="s">
        <v>89</v>
      </c>
      <c r="M25" s="17"/>
    </row>
    <row r="26" spans="1:13" ht="316.8">
      <c r="B26" s="1" t="s">
        <v>54</v>
      </c>
      <c r="C26" s="19">
        <v>25</v>
      </c>
      <c r="D26" s="10" t="s">
        <v>196</v>
      </c>
      <c r="E26" s="3" t="s">
        <v>56</v>
      </c>
      <c r="F26" s="3" t="s">
        <v>16</v>
      </c>
      <c r="G26" s="3" t="s">
        <v>86</v>
      </c>
      <c r="H26" s="9" t="s">
        <v>87</v>
      </c>
      <c r="I26" s="3"/>
      <c r="J26" s="20" t="s">
        <v>59</v>
      </c>
      <c r="K26" s="3"/>
      <c r="L26" s="4" t="s">
        <v>89</v>
      </c>
      <c r="M26" s="3"/>
    </row>
    <row r="27" spans="1:13" ht="374.4">
      <c r="B27" s="1" t="s">
        <v>201</v>
      </c>
      <c r="C27" s="19">
        <v>26</v>
      </c>
      <c r="D27" s="10" t="s">
        <v>138</v>
      </c>
      <c r="E27" s="3" t="s">
        <v>56</v>
      </c>
      <c r="F27" s="3" t="s">
        <v>16</v>
      </c>
      <c r="G27" s="3" t="s">
        <v>86</v>
      </c>
      <c r="H27" s="9" t="s">
        <v>102</v>
      </c>
      <c r="I27" s="3" t="s">
        <v>332</v>
      </c>
      <c r="J27" s="22" t="s">
        <v>165</v>
      </c>
      <c r="K27" s="3"/>
      <c r="L27" s="4" t="s">
        <v>89</v>
      </c>
      <c r="M27" s="23" t="s">
        <v>333</v>
      </c>
    </row>
    <row r="28" spans="1:13" ht="374.4">
      <c r="B28" s="1" t="s">
        <v>54</v>
      </c>
      <c r="C28" s="19">
        <v>27</v>
      </c>
      <c r="D28" s="10" t="s">
        <v>141</v>
      </c>
      <c r="E28" s="3" t="s">
        <v>56</v>
      </c>
      <c r="F28" s="3" t="s">
        <v>16</v>
      </c>
      <c r="G28" s="3" t="s">
        <v>107</v>
      </c>
      <c r="H28" s="9" t="s">
        <v>102</v>
      </c>
      <c r="I28" s="3" t="s">
        <v>334</v>
      </c>
      <c r="J28" s="22" t="s">
        <v>165</v>
      </c>
      <c r="K28" s="3"/>
      <c r="L28" s="4" t="s">
        <v>89</v>
      </c>
      <c r="M28" s="4" t="s">
        <v>335</v>
      </c>
    </row>
    <row r="29" spans="1:13" ht="374.4">
      <c r="A29" s="11"/>
      <c r="B29" s="1" t="s">
        <v>201</v>
      </c>
      <c r="C29" s="19">
        <v>28</v>
      </c>
      <c r="D29" s="10" t="s">
        <v>142</v>
      </c>
      <c r="E29" s="3" t="s">
        <v>56</v>
      </c>
      <c r="F29" s="3" t="s">
        <v>16</v>
      </c>
      <c r="G29" s="3" t="s">
        <v>107</v>
      </c>
      <c r="H29" s="9" t="s">
        <v>102</v>
      </c>
      <c r="I29" s="1" t="s">
        <v>336</v>
      </c>
      <c r="J29" s="22" t="s">
        <v>165</v>
      </c>
      <c r="K29" s="3"/>
      <c r="L29" s="4" t="s">
        <v>89</v>
      </c>
      <c r="M29" s="23" t="s">
        <v>337</v>
      </c>
    </row>
    <row r="30" spans="1:13" ht="374.4">
      <c r="A30" s="11"/>
      <c r="B30" s="1" t="s">
        <v>54</v>
      </c>
      <c r="C30" s="19">
        <v>29</v>
      </c>
      <c r="D30" s="10" t="s">
        <v>146</v>
      </c>
      <c r="E30" s="3" t="s">
        <v>56</v>
      </c>
      <c r="F30" s="3" t="s">
        <v>16</v>
      </c>
      <c r="G30" s="3" t="s">
        <v>107</v>
      </c>
      <c r="H30" s="9" t="s">
        <v>102</v>
      </c>
      <c r="I30" t="s">
        <v>338</v>
      </c>
      <c r="J30" s="20" t="s">
        <v>303</v>
      </c>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201</v>
      </c>
      <c r="C32" s="19">
        <v>31</v>
      </c>
      <c r="D32" s="3" t="s">
        <v>47</v>
      </c>
      <c r="E32" s="3" t="s">
        <v>56</v>
      </c>
      <c r="F32" s="3" t="s">
        <v>16</v>
      </c>
      <c r="G32" s="3" t="s">
        <v>149</v>
      </c>
      <c r="H32" s="9" t="s">
        <v>18</v>
      </c>
      <c r="I32" s="3" t="s">
        <v>339</v>
      </c>
      <c r="J32" s="20" t="s">
        <v>303</v>
      </c>
      <c r="K32" s="3"/>
      <c r="L32" s="4" t="s">
        <v>151</v>
      </c>
      <c r="M32" s="3"/>
    </row>
    <row r="33" spans="1:13" ht="230.4">
      <c r="A33" s="11"/>
      <c r="B33" s="1" t="s">
        <v>201</v>
      </c>
      <c r="C33" s="19">
        <v>32</v>
      </c>
      <c r="D33" s="3" t="s">
        <v>49</v>
      </c>
      <c r="E33" s="3" t="s">
        <v>56</v>
      </c>
      <c r="F33" s="3" t="s">
        <v>16</v>
      </c>
      <c r="G33" s="3" t="s">
        <v>63</v>
      </c>
      <c r="H33" s="9" t="s">
        <v>18</v>
      </c>
      <c r="I33" s="3" t="s">
        <v>340</v>
      </c>
      <c r="J33" s="20" t="s">
        <v>303</v>
      </c>
      <c r="K33" s="3"/>
      <c r="L33" s="4" t="s">
        <v>154</v>
      </c>
      <c r="M33" s="3"/>
    </row>
  </sheetData>
  <autoFilter ref="A1:M33" xr:uid="{DCB37448-7794-4D71-83D8-79D0F3D93892}">
    <filterColumn colId="2">
      <colorFilter dxfId="2"/>
    </filterColumn>
    <filterColumn colId="9">
      <filters blank="1"/>
    </filterColumn>
  </autoFilter>
  <hyperlinks>
    <hyperlink ref="L2" r:id="rId1" xr:uid="{2C25CA29-D6E8-4804-AC19-1A4BADAA1ED6}"/>
    <hyperlink ref="L3:L5" r:id="rId2" display="https://app.clickup.com/t/8499449/APP-250" xr:uid="{9DD973FE-F6A7-47B4-854E-0664B324B320}"/>
    <hyperlink ref="L6" r:id="rId3" display="https://app.clickup.com/t/8499449/APP-250" xr:uid="{6651D659-9ACA-4187-8F95-8395F6143ED9}"/>
    <hyperlink ref="L7:L12" r:id="rId4" display="https://app.clickup.com/t/8499449/APP-250" xr:uid="{B138D9F1-9236-4B2D-A1F8-0314BF486E32}"/>
    <hyperlink ref="L16" r:id="rId5" display="https://app.clickup.com/t/8499449/APP-250" xr:uid="{4382246D-C47E-4884-AAFC-C459CB6F866F}"/>
    <hyperlink ref="L8" r:id="rId6" display="https://app.clickup.com/t/8499449/APP-250" xr:uid="{4FDA379F-26CE-493C-8F83-916581589CB8}"/>
    <hyperlink ref="L9" r:id="rId7" display="https://app.clickup.com/t/8499449/APP-250" xr:uid="{98F0D949-B3D2-4C62-94CE-0BF874BB7EA3}"/>
    <hyperlink ref="L10" r:id="rId8" display="https://app.clickup.com/t/8499449/APP-250" xr:uid="{946C43A3-7D43-43C2-A67C-FB33FB3F3C7F}"/>
    <hyperlink ref="L11" r:id="rId9" display="https://app.clickup.com/t/8499449/APP-250" xr:uid="{260504CB-16F0-40F5-ADAF-A9435E2D0653}"/>
    <hyperlink ref="L13" r:id="rId10" display="https://app.clickup.com/t/8499449/APP-250" xr:uid="{827A3235-337A-42D2-8096-365EDE0A0CF3}"/>
    <hyperlink ref="L14" r:id="rId11" display="https://app.clickup.com/t/8499449/APP-250" xr:uid="{8435092C-F9E6-470F-8BFD-E150DFB05149}"/>
    <hyperlink ref="L15" r:id="rId12" display="https://app.clickup.com/t/8499449/APP-250" xr:uid="{08860405-FA39-452E-BAFC-9B471B81F7BD}"/>
    <hyperlink ref="L17:L19" r:id="rId13" display="https://app.clickup.com/t/8499449/APP-250" xr:uid="{E4CB0616-E5D5-4B87-A010-C68723C92145}"/>
    <hyperlink ref="L20" r:id="rId14" display="https://app.clickup.com/t/8499449/APP-250" xr:uid="{7E90EB5B-3607-4112-AB4E-1B2E9DCBC4C1}"/>
    <hyperlink ref="L21:L27" r:id="rId15" display="https://app.clickup.com/t/8499449/APP-250" xr:uid="{FF842B1B-7FE8-415E-B047-511724EC6C7F}"/>
    <hyperlink ref="L31" r:id="rId16" display="https://app.clickup.com/t/8499449/APP-250" xr:uid="{3F8D3823-2BCA-4918-BAF0-5CF399C3675E}"/>
    <hyperlink ref="L23" r:id="rId17" display="https://app.clickup.com/t/8499449/APP-250" xr:uid="{A45218A2-C581-4FD0-BA48-CB049DF4C753}"/>
    <hyperlink ref="L24" r:id="rId18" display="https://app.clickup.com/t/8499449/APP-250" xr:uid="{F1CDDC9D-EE22-449F-BB48-756C696D0BDD}"/>
    <hyperlink ref="L25" r:id="rId19" display="https://app.clickup.com/t/8499449/APP-250" xr:uid="{A00173B5-79BB-4FC7-B9A5-4C52E2BBBE94}"/>
    <hyperlink ref="L26" r:id="rId20" display="https://app.clickup.com/t/8499449/APP-250" xr:uid="{0D9D8DF2-E684-44F0-8CA4-F02BD6631AEF}"/>
    <hyperlink ref="L28" r:id="rId21" xr:uid="{4D9F33F4-834F-4FE2-8E6E-D326D242B9D8}"/>
    <hyperlink ref="L29" r:id="rId22" display="https://app.clickup.com/t/8499449/APP-250" xr:uid="{D56B4A84-F5A2-4C67-BC12-2B79F4C5B4D9}"/>
    <hyperlink ref="L30" r:id="rId23" display="https://app.clickup.com/t/8499449/APP-250" xr:uid="{B546B639-53A1-40CF-B4FB-CC2F46DD0480}"/>
    <hyperlink ref="L32" r:id="rId24" display="https://app.clickup.com/t/8499449/APP-250" xr:uid="{30C5BB4B-46FF-459D-8C36-213412F570F7}"/>
    <hyperlink ref="L33" r:id="rId25" display="https://app.clickup.com/t/8499449/APP-250" xr:uid="{4D5D3C4B-F189-4D72-AAAF-3C5E207F2092}"/>
    <hyperlink ref="M28" r:id="rId26" xr:uid="{74BB7329-2F34-4F63-BA37-DC512A7FC459}"/>
    <hyperlink ref="M27" r:id="rId27" xr:uid="{900B1A06-8DA7-4DFC-B0AA-42BC4B1E6585}"/>
    <hyperlink ref="M29" r:id="rId28" xr:uid="{2C19E678-18B8-4060-ADDC-5780C273636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C7AD-B81B-46EF-9D92-1D8A4BF4B6FB}">
  <sheetPr filterMode="1"/>
  <dimension ref="A1:M33"/>
  <sheetViews>
    <sheetView workbookViewId="0">
      <pane ySplit="1" topLeftCell="A2" activePane="bottomLeft" state="frozen"/>
      <selection pane="bottomLeft" activeCell="B1" sqref="B1"/>
    </sheetView>
  </sheetViews>
  <sheetFormatPr baseColWidth="10" defaultColWidth="11.44140625" defaultRowHeight="14.4"/>
  <cols>
    <col min="1" max="1" width="0" style="1" hidden="1" customWidth="1"/>
    <col min="2" max="2" width="11.44140625" style="1"/>
    <col min="3" max="3" width="9.10937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c r="B1" s="1" t="s">
        <v>51</v>
      </c>
      <c r="C1" s="5" t="s">
        <v>0</v>
      </c>
      <c r="D1" s="6" t="s">
        <v>1</v>
      </c>
      <c r="E1" s="6" t="s">
        <v>2</v>
      </c>
      <c r="F1" s="6" t="s">
        <v>3</v>
      </c>
      <c r="G1" s="6" t="s">
        <v>4</v>
      </c>
      <c r="H1" s="8" t="s">
        <v>5</v>
      </c>
      <c r="I1" s="6" t="s">
        <v>52</v>
      </c>
      <c r="J1" s="6" t="s">
        <v>6</v>
      </c>
      <c r="K1" s="6" t="s">
        <v>7</v>
      </c>
      <c r="L1" s="6" t="s">
        <v>8</v>
      </c>
      <c r="M1" s="6" t="s">
        <v>53</v>
      </c>
    </row>
    <row r="2" spans="1:13" ht="144">
      <c r="A2" s="1" t="s">
        <v>54</v>
      </c>
      <c r="B2" s="1" t="s">
        <v>201</v>
      </c>
      <c r="C2" s="19">
        <v>1</v>
      </c>
      <c r="D2" s="3" t="s">
        <v>10</v>
      </c>
      <c r="E2" s="3" t="s">
        <v>56</v>
      </c>
      <c r="F2" s="3" t="s">
        <v>12</v>
      </c>
      <c r="G2" s="3" t="s">
        <v>57</v>
      </c>
      <c r="H2" s="9" t="s">
        <v>14</v>
      </c>
      <c r="I2" s="14" t="s">
        <v>317</v>
      </c>
      <c r="J2" s="15" t="s">
        <v>303</v>
      </c>
      <c r="K2" s="15"/>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c r="A7" s="1" t="s">
        <v>54</v>
      </c>
      <c r="B7" s="1" t="s">
        <v>130</v>
      </c>
      <c r="C7" s="19">
        <v>6</v>
      </c>
      <c r="D7" s="7" t="s">
        <v>77</v>
      </c>
      <c r="E7" s="3" t="s">
        <v>56</v>
      </c>
      <c r="F7" s="3" t="s">
        <v>16</v>
      </c>
      <c r="G7" s="3" t="s">
        <v>78</v>
      </c>
      <c r="H7" s="9" t="s">
        <v>23</v>
      </c>
      <c r="I7" s="3" t="s">
        <v>318</v>
      </c>
      <c r="J7" s="15" t="s">
        <v>303</v>
      </c>
      <c r="K7" s="15"/>
      <c r="L7" s="4" t="s">
        <v>82</v>
      </c>
      <c r="M7" s="17"/>
    </row>
    <row r="8" spans="1:13" ht="316.8">
      <c r="A8" s="11" t="s">
        <v>54</v>
      </c>
      <c r="B8" s="1" t="s">
        <v>201</v>
      </c>
      <c r="C8" s="19">
        <v>7</v>
      </c>
      <c r="D8" s="7" t="s">
        <v>85</v>
      </c>
      <c r="E8" s="3" t="s">
        <v>56</v>
      </c>
      <c r="F8" s="3" t="s">
        <v>16</v>
      </c>
      <c r="G8" s="3" t="s">
        <v>86</v>
      </c>
      <c r="H8" s="9" t="s">
        <v>87</v>
      </c>
      <c r="I8" s="3" t="s">
        <v>319</v>
      </c>
      <c r="J8" s="15" t="s">
        <v>303</v>
      </c>
      <c r="K8" s="3"/>
      <c r="L8" s="4" t="s">
        <v>89</v>
      </c>
      <c r="M8" s="3"/>
    </row>
    <row r="9" spans="1:13" ht="316.8">
      <c r="A9" s="1" t="s">
        <v>54</v>
      </c>
      <c r="B9" s="1" t="s">
        <v>130</v>
      </c>
      <c r="C9" s="19">
        <v>8</v>
      </c>
      <c r="D9" s="7" t="s">
        <v>92</v>
      </c>
      <c r="E9" s="3" t="s">
        <v>56</v>
      </c>
      <c r="F9" s="3" t="s">
        <v>16</v>
      </c>
      <c r="G9" s="3" t="s">
        <v>86</v>
      </c>
      <c r="H9" s="9" t="s">
        <v>87</v>
      </c>
      <c r="I9" s="3" t="s">
        <v>320</v>
      </c>
      <c r="J9" s="15" t="s">
        <v>303</v>
      </c>
      <c r="K9" s="15"/>
      <c r="L9" s="4" t="s">
        <v>89</v>
      </c>
      <c r="M9" s="3"/>
    </row>
    <row r="10" spans="1:13" ht="316.8">
      <c r="A10" s="11" t="s">
        <v>54</v>
      </c>
      <c r="B10" s="1" t="s">
        <v>201</v>
      </c>
      <c r="C10" s="19">
        <v>9</v>
      </c>
      <c r="D10" s="7" t="s">
        <v>96</v>
      </c>
      <c r="E10" s="3" t="s">
        <v>56</v>
      </c>
      <c r="F10" s="3" t="s">
        <v>16</v>
      </c>
      <c r="G10" s="3" t="s">
        <v>86</v>
      </c>
      <c r="H10" s="9" t="s">
        <v>87</v>
      </c>
      <c r="I10" s="3" t="s">
        <v>321</v>
      </c>
      <c r="J10" s="15" t="s">
        <v>303</v>
      </c>
      <c r="K10" s="15"/>
      <c r="L10" s="4" t="s">
        <v>89</v>
      </c>
      <c r="M10" s="3"/>
    </row>
    <row r="11" spans="1:13" ht="316.8">
      <c r="A11" s="1" t="s">
        <v>54</v>
      </c>
      <c r="B11" s="1" t="s">
        <v>130</v>
      </c>
      <c r="C11" s="19">
        <v>10</v>
      </c>
      <c r="D11" s="7" t="s">
        <v>98</v>
      </c>
      <c r="E11" s="3" t="s">
        <v>56</v>
      </c>
      <c r="F11" s="3" t="s">
        <v>16</v>
      </c>
      <c r="G11" s="3" t="s">
        <v>86</v>
      </c>
      <c r="H11" s="9" t="s">
        <v>87</v>
      </c>
      <c r="I11" s="3" t="s">
        <v>322</v>
      </c>
      <c r="J11" s="15" t="s">
        <v>303</v>
      </c>
      <c r="K11" s="15"/>
      <c r="L11" s="4" t="s">
        <v>89</v>
      </c>
      <c r="M11" s="3"/>
    </row>
    <row r="12" spans="1:13" ht="374.4">
      <c r="A12" s="11" t="s">
        <v>100</v>
      </c>
      <c r="B12" s="1" t="s">
        <v>201</v>
      </c>
      <c r="C12" s="19">
        <v>11</v>
      </c>
      <c r="D12" s="7" t="s">
        <v>101</v>
      </c>
      <c r="E12" s="3" t="s">
        <v>56</v>
      </c>
      <c r="F12" s="3" t="s">
        <v>16</v>
      </c>
      <c r="G12" s="3" t="s">
        <v>86</v>
      </c>
      <c r="H12" s="9" t="s">
        <v>102</v>
      </c>
      <c r="I12" s="3" t="s">
        <v>323</v>
      </c>
      <c r="J12" s="15" t="s">
        <v>303</v>
      </c>
      <c r="K12" s="15"/>
      <c r="L12" s="4" t="s">
        <v>89</v>
      </c>
      <c r="M12" s="17"/>
    </row>
    <row r="13" spans="1:13" ht="374.4">
      <c r="A13" s="11" t="s">
        <v>54</v>
      </c>
      <c r="B13" s="1" t="s">
        <v>130</v>
      </c>
      <c r="C13" s="19">
        <v>12</v>
      </c>
      <c r="D13" s="7" t="s">
        <v>106</v>
      </c>
      <c r="E13" s="3" t="s">
        <v>56</v>
      </c>
      <c r="F13" s="3" t="s">
        <v>16</v>
      </c>
      <c r="G13" s="3" t="s">
        <v>107</v>
      </c>
      <c r="H13" s="9" t="s">
        <v>102</v>
      </c>
      <c r="I13" s="3" t="s">
        <v>324</v>
      </c>
      <c r="J13" s="15" t="s">
        <v>303</v>
      </c>
      <c r="K13" s="3"/>
      <c r="L13" s="4" t="s">
        <v>89</v>
      </c>
      <c r="M13" s="3"/>
    </row>
    <row r="14" spans="1:13" ht="374.4">
      <c r="A14" s="1" t="s">
        <v>54</v>
      </c>
      <c r="B14" s="1" t="s">
        <v>201</v>
      </c>
      <c r="C14" s="19">
        <v>13</v>
      </c>
      <c r="D14" s="7" t="s">
        <v>108</v>
      </c>
      <c r="E14" s="3" t="s">
        <v>56</v>
      </c>
      <c r="F14" s="3" t="s">
        <v>16</v>
      </c>
      <c r="G14" s="3" t="s">
        <v>107</v>
      </c>
      <c r="H14" s="9" t="s">
        <v>102</v>
      </c>
      <c r="I14" s="14" t="s">
        <v>325</v>
      </c>
      <c r="J14" s="15" t="s">
        <v>303</v>
      </c>
      <c r="K14" s="16"/>
      <c r="L14" s="4" t="s">
        <v>89</v>
      </c>
      <c r="M14" s="3"/>
    </row>
    <row r="15" spans="1:13" ht="374.4">
      <c r="A15" s="1" t="s">
        <v>100</v>
      </c>
      <c r="B15" s="1" t="s">
        <v>130</v>
      </c>
      <c r="C15" s="19">
        <v>14</v>
      </c>
      <c r="D15" s="7" t="s">
        <v>113</v>
      </c>
      <c r="E15" s="3" t="s">
        <v>56</v>
      </c>
      <c r="F15" s="3" t="s">
        <v>16</v>
      </c>
      <c r="G15" s="3" t="s">
        <v>107</v>
      </c>
      <c r="H15" s="9" t="s">
        <v>102</v>
      </c>
      <c r="I15" s="3" t="s">
        <v>326</v>
      </c>
      <c r="J15" s="15" t="s">
        <v>303</v>
      </c>
      <c r="K15" s="18"/>
      <c r="L15" s="4" t="s">
        <v>89</v>
      </c>
      <c r="M15" s="17"/>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c r="A21" s="1" t="s">
        <v>100</v>
      </c>
      <c r="B21" s="1" t="s">
        <v>201</v>
      </c>
      <c r="C21" s="19">
        <v>20</v>
      </c>
      <c r="D21" s="10" t="s">
        <v>120</v>
      </c>
      <c r="E21" s="3" t="s">
        <v>56</v>
      </c>
      <c r="F21" s="3" t="s">
        <v>16</v>
      </c>
      <c r="G21" s="3" t="s">
        <v>78</v>
      </c>
      <c r="H21" s="9" t="s">
        <v>23</v>
      </c>
      <c r="I21" s="14" t="s">
        <v>327</v>
      </c>
      <c r="J21" s="15" t="s">
        <v>303</v>
      </c>
      <c r="K21" s="16"/>
      <c r="L21" s="4" t="s">
        <v>82</v>
      </c>
      <c r="M21" s="17"/>
    </row>
    <row r="22" spans="1:13" ht="201.6">
      <c r="B22" s="1" t="s">
        <v>130</v>
      </c>
      <c r="C22" s="19">
        <v>21</v>
      </c>
      <c r="D22" s="10" t="s">
        <v>120</v>
      </c>
      <c r="E22" s="3" t="s">
        <v>56</v>
      </c>
      <c r="F22" s="3" t="s">
        <v>16</v>
      </c>
      <c r="G22" s="3" t="s">
        <v>78</v>
      </c>
      <c r="H22" s="9" t="s">
        <v>23</v>
      </c>
      <c r="I22" s="14" t="s">
        <v>328</v>
      </c>
      <c r="J22" s="15" t="s">
        <v>303</v>
      </c>
      <c r="K22" s="3"/>
      <c r="L22" s="4" t="s">
        <v>193</v>
      </c>
      <c r="M22" s="3"/>
    </row>
    <row r="23" spans="1:13" ht="316.8">
      <c r="B23" s="1" t="s">
        <v>201</v>
      </c>
      <c r="C23" s="19">
        <v>22</v>
      </c>
      <c r="D23" s="10" t="s">
        <v>124</v>
      </c>
      <c r="E23" s="3" t="s">
        <v>56</v>
      </c>
      <c r="F23" s="3" t="s">
        <v>16</v>
      </c>
      <c r="G23" s="3" t="s">
        <v>86</v>
      </c>
      <c r="H23" s="9" t="s">
        <v>87</v>
      </c>
      <c r="I23" s="3" t="s">
        <v>329</v>
      </c>
      <c r="J23" s="15" t="s">
        <v>303</v>
      </c>
      <c r="K23" s="3"/>
      <c r="L23" s="4" t="s">
        <v>89</v>
      </c>
      <c r="M23" s="3"/>
    </row>
    <row r="24" spans="1:13" ht="316.8">
      <c r="A24" s="11"/>
      <c r="B24" s="1" t="s">
        <v>130</v>
      </c>
      <c r="C24" s="19">
        <v>23</v>
      </c>
      <c r="D24" s="10" t="s">
        <v>128</v>
      </c>
      <c r="E24" s="3" t="s">
        <v>56</v>
      </c>
      <c r="F24" s="3" t="s">
        <v>16</v>
      </c>
      <c r="G24" s="3" t="s">
        <v>86</v>
      </c>
      <c r="H24" s="9" t="s">
        <v>87</v>
      </c>
      <c r="I24" s="14" t="s">
        <v>330</v>
      </c>
      <c r="J24" s="15" t="s">
        <v>303</v>
      </c>
      <c r="K24" s="3"/>
      <c r="L24" s="4" t="s">
        <v>89</v>
      </c>
      <c r="M24" s="3"/>
    </row>
    <row r="25" spans="1:13" ht="316.8">
      <c r="A25" s="11" t="s">
        <v>130</v>
      </c>
      <c r="B25" s="1" t="s">
        <v>201</v>
      </c>
      <c r="C25" s="19">
        <v>24</v>
      </c>
      <c r="D25" s="10" t="s">
        <v>131</v>
      </c>
      <c r="E25" s="3" t="s">
        <v>56</v>
      </c>
      <c r="F25" s="3" t="s">
        <v>16</v>
      </c>
      <c r="G25" s="3" t="s">
        <v>86</v>
      </c>
      <c r="H25" s="9" t="s">
        <v>87</v>
      </c>
      <c r="I25" s="3" t="s">
        <v>331</v>
      </c>
      <c r="J25" s="20" t="s">
        <v>303</v>
      </c>
      <c r="K25" s="18"/>
      <c r="L25" s="4" t="s">
        <v>89</v>
      </c>
      <c r="M25" s="17"/>
    </row>
    <row r="26" spans="1:13" ht="316.8">
      <c r="B26" s="1" t="s">
        <v>130</v>
      </c>
      <c r="C26" s="19">
        <v>25</v>
      </c>
      <c r="D26" s="10" t="s">
        <v>196</v>
      </c>
      <c r="E26" s="3" t="s">
        <v>56</v>
      </c>
      <c r="F26" s="3" t="s">
        <v>16</v>
      </c>
      <c r="G26" s="3" t="s">
        <v>86</v>
      </c>
      <c r="H26" s="9" t="s">
        <v>87</v>
      </c>
      <c r="I26" s="3"/>
      <c r="J26" s="3"/>
      <c r="K26" s="3"/>
      <c r="L26" s="4" t="s">
        <v>89</v>
      </c>
      <c r="M26" s="3"/>
    </row>
    <row r="27" spans="1:13" ht="374.4">
      <c r="B27" s="1" t="s">
        <v>201</v>
      </c>
      <c r="C27" s="19">
        <v>26</v>
      </c>
      <c r="D27" s="10" t="s">
        <v>138</v>
      </c>
      <c r="E27" s="3" t="s">
        <v>56</v>
      </c>
      <c r="F27" s="3" t="s">
        <v>16</v>
      </c>
      <c r="G27" s="3" t="s">
        <v>86</v>
      </c>
      <c r="H27" s="9" t="s">
        <v>102</v>
      </c>
      <c r="I27" s="3"/>
      <c r="J27" s="21"/>
      <c r="K27" s="3"/>
      <c r="L27" s="4" t="s">
        <v>89</v>
      </c>
      <c r="M27" s="3"/>
    </row>
    <row r="28" spans="1:13" ht="374.4">
      <c r="B28" s="1" t="s">
        <v>130</v>
      </c>
      <c r="C28" s="19">
        <v>27</v>
      </c>
      <c r="D28" s="10" t="s">
        <v>141</v>
      </c>
      <c r="E28" s="3" t="s">
        <v>56</v>
      </c>
      <c r="F28" s="3" t="s">
        <v>16</v>
      </c>
      <c r="G28" s="3" t="s">
        <v>107</v>
      </c>
      <c r="H28" s="9" t="s">
        <v>102</v>
      </c>
      <c r="I28" s="3"/>
      <c r="J28" s="3"/>
      <c r="K28" s="3"/>
      <c r="L28" s="4" t="s">
        <v>89</v>
      </c>
      <c r="M28" s="3"/>
    </row>
    <row r="29" spans="1:13" ht="374.4">
      <c r="A29" s="11"/>
      <c r="B29" s="1" t="s">
        <v>201</v>
      </c>
      <c r="C29" s="19">
        <v>28</v>
      </c>
      <c r="D29" s="10" t="s">
        <v>142</v>
      </c>
      <c r="E29" s="3" t="s">
        <v>56</v>
      </c>
      <c r="F29" s="3" t="s">
        <v>16</v>
      </c>
      <c r="G29" s="3" t="s">
        <v>107</v>
      </c>
      <c r="H29" s="9" t="s">
        <v>102</v>
      </c>
      <c r="K29" s="3"/>
      <c r="L29" s="4" t="s">
        <v>89</v>
      </c>
      <c r="M29" s="3"/>
    </row>
    <row r="30" spans="1:13" ht="374.4">
      <c r="A30" s="11"/>
      <c r="B30" s="1" t="s">
        <v>130</v>
      </c>
      <c r="C30" s="19">
        <v>29</v>
      </c>
      <c r="D30" s="10" t="s">
        <v>146</v>
      </c>
      <c r="E30" s="3" t="s">
        <v>56</v>
      </c>
      <c r="F30" s="3" t="s">
        <v>16</v>
      </c>
      <c r="G30" s="3" t="s">
        <v>107</v>
      </c>
      <c r="H30" s="9" t="s">
        <v>102</v>
      </c>
      <c r="I30" s="3"/>
      <c r="J30" s="3"/>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130</v>
      </c>
      <c r="C32" s="19">
        <v>31</v>
      </c>
      <c r="D32" s="3" t="s">
        <v>47</v>
      </c>
      <c r="E32" s="3" t="s">
        <v>56</v>
      </c>
      <c r="F32" s="3" t="s">
        <v>16</v>
      </c>
      <c r="G32" s="3" t="s">
        <v>149</v>
      </c>
      <c r="H32" s="9" t="s">
        <v>18</v>
      </c>
      <c r="I32" s="3"/>
      <c r="J32" s="3"/>
      <c r="K32" s="3"/>
      <c r="L32" s="4" t="s">
        <v>151</v>
      </c>
      <c r="M32" s="3"/>
    </row>
    <row r="33" spans="1:13" ht="230.4">
      <c r="A33" s="11"/>
      <c r="B33" s="1" t="s">
        <v>201</v>
      </c>
      <c r="C33" s="19">
        <v>32</v>
      </c>
      <c r="D33" s="3" t="s">
        <v>49</v>
      </c>
      <c r="E33" s="3" t="s">
        <v>56</v>
      </c>
      <c r="F33" s="3" t="s">
        <v>16</v>
      </c>
      <c r="G33" s="3" t="s">
        <v>63</v>
      </c>
      <c r="H33" s="9" t="s">
        <v>18</v>
      </c>
      <c r="I33" s="3"/>
      <c r="J33" s="3"/>
      <c r="K33" s="3"/>
      <c r="L33" s="4" t="s">
        <v>154</v>
      </c>
      <c r="M33" s="3"/>
    </row>
  </sheetData>
  <autoFilter ref="A1:M33" xr:uid="{DCB37448-7794-4D71-83D8-79D0F3D93892}">
    <filterColumn colId="2">
      <colorFilter dxfId="1"/>
    </filterColumn>
  </autoFilter>
  <hyperlinks>
    <hyperlink ref="L2" r:id="rId1" xr:uid="{2F75279C-CB03-4AD2-BA63-81768ECC2295}"/>
    <hyperlink ref="L3:L5" r:id="rId2" display="https://app.clickup.com/t/8499449/APP-250" xr:uid="{C29C53E9-0FB3-44B3-AD01-79B32F50F23A}"/>
    <hyperlink ref="L6" r:id="rId3" display="https://app.clickup.com/t/8499449/APP-250" xr:uid="{837429EE-287A-4DB4-A851-AC332800186E}"/>
    <hyperlink ref="L7:L12" r:id="rId4" display="https://app.clickup.com/t/8499449/APP-250" xr:uid="{7CA2965A-5FBD-4151-BB18-DEF7EDEBE05C}"/>
    <hyperlink ref="L16" r:id="rId5" display="https://app.clickup.com/t/8499449/APP-250" xr:uid="{B7636AF2-3879-4E4E-BD83-B91B9A0BA908}"/>
    <hyperlink ref="L8" r:id="rId6" display="https://app.clickup.com/t/8499449/APP-250" xr:uid="{3B7AD105-D5DC-4A65-BC28-F11DED9A704C}"/>
    <hyperlink ref="L9" r:id="rId7" display="https://app.clickup.com/t/8499449/APP-250" xr:uid="{1AE28604-4D75-4B9E-B039-4EE8F6CAEF43}"/>
    <hyperlink ref="L10" r:id="rId8" display="https://app.clickup.com/t/8499449/APP-250" xr:uid="{5DE926EA-45C0-4ABF-8128-68CE3DB404CE}"/>
    <hyperlink ref="L11" r:id="rId9" display="https://app.clickup.com/t/8499449/APP-250" xr:uid="{B22DE3DA-EDB5-4083-A853-6161F02057CA}"/>
    <hyperlink ref="L13" r:id="rId10" display="https://app.clickup.com/t/8499449/APP-250" xr:uid="{AB3D2E80-50C3-4939-95C4-04335F14F107}"/>
    <hyperlink ref="L14" r:id="rId11" display="https://app.clickup.com/t/8499449/APP-250" xr:uid="{F96B9523-D4D0-41AB-93D8-7AD943827C0D}"/>
    <hyperlink ref="L15" r:id="rId12" display="https://app.clickup.com/t/8499449/APP-250" xr:uid="{CC6AEF81-F419-4847-B149-AADF545EEA63}"/>
    <hyperlink ref="L17:L19" r:id="rId13" display="https://app.clickup.com/t/8499449/APP-250" xr:uid="{8B5CF7A3-6980-42A4-AB39-E93FC03E7E90}"/>
    <hyperlink ref="L20" r:id="rId14" display="https://app.clickup.com/t/8499449/APP-250" xr:uid="{10D3CA21-D0D4-4DA5-BE18-EC674B4F4A11}"/>
    <hyperlink ref="L21:L27" r:id="rId15" display="https://app.clickup.com/t/8499449/APP-250" xr:uid="{B0BC1E6E-F5DF-4394-BA05-AD3651540359}"/>
    <hyperlink ref="L31" r:id="rId16" display="https://app.clickup.com/t/8499449/APP-250" xr:uid="{EB9E60C1-A297-488A-AC58-0FF139FEE5DD}"/>
    <hyperlink ref="L23" r:id="rId17" display="https://app.clickup.com/t/8499449/APP-250" xr:uid="{B5708176-CFEF-4FD1-8A02-5E5F0896E713}"/>
    <hyperlink ref="L24" r:id="rId18" display="https://app.clickup.com/t/8499449/APP-250" xr:uid="{5F5AE6F5-62C3-4D4D-8D3C-762A69C21988}"/>
    <hyperlink ref="L25" r:id="rId19" display="https://app.clickup.com/t/8499449/APP-250" xr:uid="{21E6EAEE-84CA-44FB-B41F-7E3AFCE26BAE}"/>
    <hyperlink ref="L26" r:id="rId20" display="https://app.clickup.com/t/8499449/APP-250" xr:uid="{FE8E23B3-7FB4-4A4F-A07B-AAD91249037A}"/>
    <hyperlink ref="L28" r:id="rId21" display="https://app.clickup.com/t/8499449/APP-250" xr:uid="{DD2848D1-84EE-4FA3-AB87-93D3F0BFF3D2}"/>
    <hyperlink ref="L29" r:id="rId22" display="https://app.clickup.com/t/8499449/APP-250" xr:uid="{9849779B-D31E-4A06-BE5C-DA4104490955}"/>
    <hyperlink ref="L30" r:id="rId23" display="https://app.clickup.com/t/8499449/APP-250" xr:uid="{84CB2B33-D5D0-4B8A-95D9-D8266AA57114}"/>
    <hyperlink ref="L32" r:id="rId24" display="https://app.clickup.com/t/8499449/APP-250" xr:uid="{7B157F4B-5B64-412F-AB19-F397D8F1FE51}"/>
    <hyperlink ref="L33" r:id="rId25" display="https://app.clickup.com/t/8499449/APP-250" xr:uid="{8B170206-C2B0-4BAF-A8D3-1C00A63A313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7448-7794-4D71-83D8-79D0F3D93892}">
  <sheetPr filterMode="1"/>
  <dimension ref="A1:M33"/>
  <sheetViews>
    <sheetView workbookViewId="0">
      <pane ySplit="1" topLeftCell="A34" activePane="bottomLeft" state="frozen"/>
      <selection pane="bottomLeft" activeCell="C35" sqref="C35"/>
    </sheetView>
  </sheetViews>
  <sheetFormatPr baseColWidth="10" defaultColWidth="11.44140625" defaultRowHeight="14.4"/>
  <cols>
    <col min="1" max="2" width="0" style="1" hidden="1" customWidth="1"/>
    <col min="3" max="3" width="11.44140625" style="1"/>
    <col min="4" max="4" width="37.88671875" style="1" customWidth="1"/>
    <col min="5" max="5" width="40" style="1" customWidth="1"/>
    <col min="6" max="6" width="21" style="1" customWidth="1"/>
    <col min="7" max="7" width="51.5546875" style="1" customWidth="1"/>
    <col min="8" max="8" width="71.5546875" style="2" customWidth="1"/>
    <col min="9" max="9" width="21.109375" style="1" customWidth="1"/>
    <col min="10" max="11" width="21" style="1" customWidth="1"/>
    <col min="12" max="12" width="39.5546875" style="1" customWidth="1"/>
    <col min="13" max="13" width="22.88671875" style="1" customWidth="1"/>
    <col min="14" max="16384" width="11.44140625" style="1"/>
  </cols>
  <sheetData>
    <row r="1" spans="1:13">
      <c r="B1" s="1" t="s">
        <v>51</v>
      </c>
      <c r="C1" s="5" t="s">
        <v>0</v>
      </c>
      <c r="D1" s="6" t="s">
        <v>1</v>
      </c>
      <c r="E1" s="6" t="s">
        <v>2</v>
      </c>
      <c r="F1" s="6" t="s">
        <v>3</v>
      </c>
      <c r="G1" s="6" t="s">
        <v>4</v>
      </c>
      <c r="H1" s="8" t="s">
        <v>5</v>
      </c>
      <c r="I1" s="6" t="s">
        <v>52</v>
      </c>
      <c r="J1" s="6" t="s">
        <v>341</v>
      </c>
      <c r="K1" s="6" t="s">
        <v>7</v>
      </c>
      <c r="L1" s="6" t="s">
        <v>8</v>
      </c>
      <c r="M1" s="6" t="s">
        <v>342</v>
      </c>
    </row>
    <row r="2" spans="1:13" ht="144">
      <c r="A2" s="1" t="s">
        <v>54</v>
      </c>
      <c r="B2" s="1" t="s">
        <v>201</v>
      </c>
      <c r="C2" s="19">
        <v>1</v>
      </c>
      <c r="D2" s="3" t="s">
        <v>10</v>
      </c>
      <c r="E2" s="3" t="s">
        <v>56</v>
      </c>
      <c r="F2" s="3" t="s">
        <v>12</v>
      </c>
      <c r="G2" s="3" t="s">
        <v>57</v>
      </c>
      <c r="H2" s="9" t="s">
        <v>14</v>
      </c>
      <c r="I2" s="14" t="s">
        <v>343</v>
      </c>
      <c r="J2" s="15" t="s">
        <v>305</v>
      </c>
      <c r="K2" s="15"/>
      <c r="L2" s="4" t="s">
        <v>60</v>
      </c>
      <c r="M2" s="3"/>
    </row>
    <row r="3" spans="1:13" ht="230.4" hidden="1">
      <c r="A3" s="11" t="s">
        <v>54</v>
      </c>
      <c r="C3" s="7">
        <v>2</v>
      </c>
      <c r="D3" s="7" t="s">
        <v>15</v>
      </c>
      <c r="E3" s="3" t="s">
        <v>56</v>
      </c>
      <c r="F3" s="3" t="s">
        <v>16</v>
      </c>
      <c r="G3" s="3" t="s">
        <v>63</v>
      </c>
      <c r="H3" s="9" t="s">
        <v>18</v>
      </c>
      <c r="I3" s="3"/>
      <c r="J3" s="3"/>
      <c r="K3" s="3"/>
      <c r="L3" s="4" t="s">
        <v>64</v>
      </c>
      <c r="M3" s="3"/>
    </row>
    <row r="4" spans="1:13" ht="230.4" hidden="1">
      <c r="A4" s="1" t="s">
        <v>54</v>
      </c>
      <c r="C4" s="7">
        <v>3</v>
      </c>
      <c r="D4" s="7" t="s">
        <v>65</v>
      </c>
      <c r="E4" s="3" t="s">
        <v>56</v>
      </c>
      <c r="F4" s="3" t="s">
        <v>16</v>
      </c>
      <c r="G4" s="3" t="s">
        <v>66</v>
      </c>
      <c r="H4" s="9" t="s">
        <v>40</v>
      </c>
      <c r="I4" s="3"/>
      <c r="J4" s="3"/>
      <c r="K4" s="3"/>
      <c r="L4" s="4" t="s">
        <v>67</v>
      </c>
      <c r="M4" s="3"/>
    </row>
    <row r="5" spans="1:13" ht="244.8" hidden="1">
      <c r="A5" s="1" t="s">
        <v>54</v>
      </c>
      <c r="C5" s="7">
        <v>4</v>
      </c>
      <c r="D5" s="7" t="s">
        <v>69</v>
      </c>
      <c r="E5" s="3" t="s">
        <v>56</v>
      </c>
      <c r="F5" s="3" t="s">
        <v>16</v>
      </c>
      <c r="G5" s="3" t="s">
        <v>70</v>
      </c>
      <c r="H5" s="9" t="s">
        <v>42</v>
      </c>
      <c r="I5" s="14" t="s">
        <v>304</v>
      </c>
      <c r="J5" s="15" t="s">
        <v>305</v>
      </c>
      <c r="K5" s="15"/>
      <c r="L5" s="4" t="s">
        <v>71</v>
      </c>
      <c r="M5" s="3"/>
    </row>
    <row r="6" spans="1:13" ht="230.4" hidden="1">
      <c r="A6" s="11" t="s">
        <v>54</v>
      </c>
      <c r="C6" s="7">
        <v>5</v>
      </c>
      <c r="D6" s="7" t="s">
        <v>72</v>
      </c>
      <c r="E6" s="3" t="s">
        <v>56</v>
      </c>
      <c r="F6" s="3" t="s">
        <v>16</v>
      </c>
      <c r="G6" s="3" t="s">
        <v>73</v>
      </c>
      <c r="H6" s="9" t="s">
        <v>74</v>
      </c>
      <c r="I6" s="3"/>
      <c r="J6" s="3"/>
      <c r="K6" s="3"/>
      <c r="L6" s="4" t="s">
        <v>75</v>
      </c>
      <c r="M6" s="3"/>
    </row>
    <row r="7" spans="1:13" ht="201.6">
      <c r="A7" s="1" t="s">
        <v>54</v>
      </c>
      <c r="B7" s="1" t="s">
        <v>130</v>
      </c>
      <c r="C7" s="19">
        <v>6</v>
      </c>
      <c r="D7" s="7" t="s">
        <v>77</v>
      </c>
      <c r="E7" s="3" t="s">
        <v>56</v>
      </c>
      <c r="F7" s="3" t="s">
        <v>16</v>
      </c>
      <c r="G7" s="3" t="s">
        <v>78</v>
      </c>
      <c r="H7" s="9" t="s">
        <v>23</v>
      </c>
      <c r="I7" s="3" t="s">
        <v>344</v>
      </c>
      <c r="J7" s="15" t="s">
        <v>305</v>
      </c>
      <c r="K7" s="15"/>
      <c r="L7" s="4" t="s">
        <v>82</v>
      </c>
      <c r="M7" s="17" t="s">
        <v>345</v>
      </c>
    </row>
    <row r="8" spans="1:13" ht="316.8">
      <c r="A8" s="11" t="s">
        <v>54</v>
      </c>
      <c r="B8" s="1" t="s">
        <v>201</v>
      </c>
      <c r="C8" s="19">
        <v>7</v>
      </c>
      <c r="D8" s="7" t="s">
        <v>85</v>
      </c>
      <c r="E8" s="3" t="s">
        <v>56</v>
      </c>
      <c r="F8" s="3" t="s">
        <v>16</v>
      </c>
      <c r="G8" s="3" t="s">
        <v>86</v>
      </c>
      <c r="H8" s="9" t="s">
        <v>87</v>
      </c>
      <c r="I8" s="3"/>
      <c r="J8" s="3"/>
      <c r="K8" s="3"/>
      <c r="L8" s="4" t="s">
        <v>89</v>
      </c>
      <c r="M8" s="3"/>
    </row>
    <row r="9" spans="1:13" ht="316.8">
      <c r="A9" s="1" t="s">
        <v>54</v>
      </c>
      <c r="B9" s="1" t="s">
        <v>130</v>
      </c>
      <c r="C9" s="19">
        <v>8</v>
      </c>
      <c r="D9" s="7" t="s">
        <v>92</v>
      </c>
      <c r="E9" s="3" t="s">
        <v>56</v>
      </c>
      <c r="F9" s="3" t="s">
        <v>16</v>
      </c>
      <c r="G9" s="3" t="s">
        <v>86</v>
      </c>
      <c r="H9" s="9" t="s">
        <v>87</v>
      </c>
      <c r="I9" s="14" t="s">
        <v>346</v>
      </c>
      <c r="J9" s="15" t="s">
        <v>305</v>
      </c>
      <c r="K9" s="15"/>
      <c r="L9" s="4" t="s">
        <v>89</v>
      </c>
      <c r="M9" s="3"/>
    </row>
    <row r="10" spans="1:13" ht="316.8">
      <c r="A10" s="11" t="s">
        <v>54</v>
      </c>
      <c r="B10" s="1" t="s">
        <v>201</v>
      </c>
      <c r="C10" s="19">
        <v>9</v>
      </c>
      <c r="D10" s="7" t="s">
        <v>96</v>
      </c>
      <c r="E10" s="3" t="s">
        <v>56</v>
      </c>
      <c r="F10" s="3" t="s">
        <v>16</v>
      </c>
      <c r="G10" s="3" t="s">
        <v>86</v>
      </c>
      <c r="H10" s="9" t="s">
        <v>87</v>
      </c>
      <c r="I10" s="3"/>
      <c r="J10" s="15" t="s">
        <v>305</v>
      </c>
      <c r="K10" s="15"/>
      <c r="L10" s="4" t="s">
        <v>89</v>
      </c>
      <c r="M10" s="3"/>
    </row>
    <row r="11" spans="1:13" ht="316.8">
      <c r="A11" s="1" t="s">
        <v>54</v>
      </c>
      <c r="B11" s="1" t="s">
        <v>130</v>
      </c>
      <c r="C11" s="19">
        <v>10</v>
      </c>
      <c r="D11" s="7" t="s">
        <v>98</v>
      </c>
      <c r="E11" s="3" t="s">
        <v>56</v>
      </c>
      <c r="F11" s="3" t="s">
        <v>16</v>
      </c>
      <c r="G11" s="3" t="s">
        <v>86</v>
      </c>
      <c r="H11" s="9" t="s">
        <v>87</v>
      </c>
      <c r="I11" s="3"/>
      <c r="J11" s="15" t="s">
        <v>305</v>
      </c>
      <c r="K11" s="15"/>
      <c r="L11" s="4" t="s">
        <v>89</v>
      </c>
      <c r="M11" s="3"/>
    </row>
    <row r="12" spans="1:13" ht="374.4">
      <c r="A12" s="11" t="s">
        <v>100</v>
      </c>
      <c r="B12" s="1" t="s">
        <v>201</v>
      </c>
      <c r="C12" s="19">
        <v>11</v>
      </c>
      <c r="D12" s="7" t="s">
        <v>101</v>
      </c>
      <c r="E12" s="3" t="s">
        <v>56</v>
      </c>
      <c r="F12" s="3" t="s">
        <v>16</v>
      </c>
      <c r="G12" s="3" t="s">
        <v>86</v>
      </c>
      <c r="H12" s="9" t="s">
        <v>102</v>
      </c>
      <c r="I12" s="3" t="s">
        <v>347</v>
      </c>
      <c r="J12" s="15" t="s">
        <v>305</v>
      </c>
      <c r="K12" s="15"/>
      <c r="L12" s="4" t="s">
        <v>89</v>
      </c>
      <c r="M12" s="17" t="s">
        <v>348</v>
      </c>
    </row>
    <row r="13" spans="1:13" ht="374.4">
      <c r="A13" s="11" t="s">
        <v>54</v>
      </c>
      <c r="B13" s="1" t="s">
        <v>130</v>
      </c>
      <c r="C13" s="19">
        <v>12</v>
      </c>
      <c r="D13" s="7" t="s">
        <v>106</v>
      </c>
      <c r="E13" s="3" t="s">
        <v>56</v>
      </c>
      <c r="F13" s="3" t="s">
        <v>16</v>
      </c>
      <c r="G13" s="3" t="s">
        <v>107</v>
      </c>
      <c r="H13" s="9" t="s">
        <v>102</v>
      </c>
      <c r="I13" s="3"/>
      <c r="J13" s="3"/>
      <c r="K13" s="3"/>
      <c r="L13" s="4" t="s">
        <v>89</v>
      </c>
      <c r="M13" s="3"/>
    </row>
    <row r="14" spans="1:13" ht="374.4">
      <c r="A14" s="1" t="s">
        <v>54</v>
      </c>
      <c r="B14" s="1" t="s">
        <v>201</v>
      </c>
      <c r="C14" s="19">
        <v>13</v>
      </c>
      <c r="D14" s="7" t="s">
        <v>108</v>
      </c>
      <c r="E14" s="3" t="s">
        <v>56</v>
      </c>
      <c r="F14" s="3" t="s">
        <v>16</v>
      </c>
      <c r="G14" s="3" t="s">
        <v>107</v>
      </c>
      <c r="H14" s="9" t="s">
        <v>102</v>
      </c>
      <c r="I14" s="14" t="s">
        <v>349</v>
      </c>
      <c r="J14" s="16" t="s">
        <v>305</v>
      </c>
      <c r="K14" s="16"/>
      <c r="L14" s="4" t="s">
        <v>89</v>
      </c>
      <c r="M14" s="3"/>
    </row>
    <row r="15" spans="1:13" ht="374.4">
      <c r="A15" s="1" t="s">
        <v>100</v>
      </c>
      <c r="B15" s="1" t="s">
        <v>130</v>
      </c>
      <c r="C15" s="19">
        <v>14</v>
      </c>
      <c r="D15" s="7" t="s">
        <v>113</v>
      </c>
      <c r="E15" s="3" t="s">
        <v>56</v>
      </c>
      <c r="F15" s="3" t="s">
        <v>16</v>
      </c>
      <c r="G15" s="3" t="s">
        <v>107</v>
      </c>
      <c r="H15" s="9" t="s">
        <v>102</v>
      </c>
      <c r="I15" s="3" t="s">
        <v>350</v>
      </c>
      <c r="J15" s="18" t="s">
        <v>162</v>
      </c>
      <c r="K15" s="18" t="s">
        <v>351</v>
      </c>
      <c r="L15" s="4" t="s">
        <v>89</v>
      </c>
      <c r="M15" s="17" t="s">
        <v>352</v>
      </c>
    </row>
    <row r="16" spans="1:13" ht="230.4" hidden="1">
      <c r="C16" s="7">
        <v>15</v>
      </c>
      <c r="D16" s="7" t="s">
        <v>33</v>
      </c>
      <c r="E16" s="3" t="s">
        <v>56</v>
      </c>
      <c r="F16" s="3" t="s">
        <v>16</v>
      </c>
      <c r="G16" s="3" t="s">
        <v>63</v>
      </c>
      <c r="H16" s="9" t="s">
        <v>18</v>
      </c>
      <c r="I16" s="3"/>
      <c r="J16" s="3"/>
      <c r="K16" s="3"/>
      <c r="L16" s="4" t="s">
        <v>64</v>
      </c>
      <c r="M16" s="3"/>
    </row>
    <row r="17" spans="1:13" ht="230.4" hidden="1">
      <c r="C17" s="10">
        <v>16</v>
      </c>
      <c r="D17" s="10" t="s">
        <v>35</v>
      </c>
      <c r="E17" s="3" t="s">
        <v>56</v>
      </c>
      <c r="F17" s="3" t="s">
        <v>16</v>
      </c>
      <c r="G17" s="3" t="s">
        <v>63</v>
      </c>
      <c r="H17" s="9" t="s">
        <v>18</v>
      </c>
      <c r="I17" s="3"/>
      <c r="J17" s="3"/>
      <c r="K17" s="3"/>
      <c r="L17" s="4" t="s">
        <v>64</v>
      </c>
      <c r="M17" s="3"/>
    </row>
    <row r="18" spans="1:13" ht="230.4" hidden="1">
      <c r="A18" s="11"/>
      <c r="C18" s="10">
        <v>17</v>
      </c>
      <c r="D18" s="10" t="s">
        <v>115</v>
      </c>
      <c r="E18" s="3" t="s">
        <v>56</v>
      </c>
      <c r="F18" s="3" t="s">
        <v>16</v>
      </c>
      <c r="G18" s="3" t="s">
        <v>66</v>
      </c>
      <c r="H18" s="9" t="s">
        <v>40</v>
      </c>
      <c r="I18" s="3"/>
      <c r="J18" s="3"/>
      <c r="K18" s="3"/>
      <c r="L18" s="4" t="s">
        <v>67</v>
      </c>
      <c r="M18" s="3"/>
    </row>
    <row r="19" spans="1:13" ht="244.8" hidden="1">
      <c r="A19" s="11"/>
      <c r="C19" s="10">
        <v>18</v>
      </c>
      <c r="D19" s="10" t="s">
        <v>117</v>
      </c>
      <c r="E19" s="3" t="s">
        <v>56</v>
      </c>
      <c r="F19" s="3" t="s">
        <v>16</v>
      </c>
      <c r="G19" s="3" t="s">
        <v>70</v>
      </c>
      <c r="H19" s="9" t="s">
        <v>42</v>
      </c>
      <c r="I19" s="3"/>
      <c r="J19" s="3"/>
      <c r="K19" s="3"/>
      <c r="L19" s="4" t="s">
        <v>71</v>
      </c>
      <c r="M19" s="3"/>
    </row>
    <row r="20" spans="1:13" ht="230.4" hidden="1">
      <c r="C20" s="10">
        <v>19</v>
      </c>
      <c r="D20" s="10" t="s">
        <v>119</v>
      </c>
      <c r="E20" s="3" t="s">
        <v>56</v>
      </c>
      <c r="F20" s="3" t="s">
        <v>16</v>
      </c>
      <c r="G20" s="3" t="s">
        <v>73</v>
      </c>
      <c r="H20" s="9" t="s">
        <v>74</v>
      </c>
      <c r="I20" s="3"/>
      <c r="J20" s="3"/>
      <c r="K20" s="3"/>
      <c r="L20" s="4" t="s">
        <v>75</v>
      </c>
      <c r="M20" s="3"/>
    </row>
    <row r="21" spans="1:13" ht="201.6">
      <c r="A21" s="1" t="s">
        <v>100</v>
      </c>
      <c r="B21" s="1" t="s">
        <v>201</v>
      </c>
      <c r="C21" s="19">
        <v>20</v>
      </c>
      <c r="D21" s="10" t="s">
        <v>120</v>
      </c>
      <c r="E21" s="3" t="s">
        <v>56</v>
      </c>
      <c r="F21" s="3" t="s">
        <v>16</v>
      </c>
      <c r="G21" s="3" t="s">
        <v>78</v>
      </c>
      <c r="H21" s="9" t="s">
        <v>23</v>
      </c>
      <c r="I21" s="14" t="s">
        <v>353</v>
      </c>
      <c r="J21" s="16" t="s">
        <v>305</v>
      </c>
      <c r="K21" s="16"/>
      <c r="L21" s="4" t="s">
        <v>82</v>
      </c>
      <c r="M21" s="17" t="s">
        <v>354</v>
      </c>
    </row>
    <row r="22" spans="1:13" ht="201.6">
      <c r="B22" s="1" t="s">
        <v>130</v>
      </c>
      <c r="C22" s="19">
        <v>21</v>
      </c>
      <c r="D22" s="10" t="s">
        <v>120</v>
      </c>
      <c r="E22" s="3" t="s">
        <v>56</v>
      </c>
      <c r="F22" s="3" t="s">
        <v>16</v>
      </c>
      <c r="G22" s="3" t="s">
        <v>78</v>
      </c>
      <c r="H22" s="9" t="s">
        <v>23</v>
      </c>
      <c r="I22" s="3"/>
      <c r="J22" s="3"/>
      <c r="K22" s="3"/>
      <c r="L22" s="4" t="s">
        <v>193</v>
      </c>
      <c r="M22" s="3"/>
    </row>
    <row r="23" spans="1:13" ht="316.8">
      <c r="B23" s="1" t="s">
        <v>201</v>
      </c>
      <c r="C23" s="19">
        <v>22</v>
      </c>
      <c r="D23" s="10" t="s">
        <v>124</v>
      </c>
      <c r="E23" s="3" t="s">
        <v>56</v>
      </c>
      <c r="F23" s="3" t="s">
        <v>16</v>
      </c>
      <c r="G23" s="3" t="s">
        <v>86</v>
      </c>
      <c r="H23" s="9" t="s">
        <v>87</v>
      </c>
      <c r="I23" s="3"/>
      <c r="J23" s="3"/>
      <c r="K23" s="3"/>
      <c r="L23" s="4" t="s">
        <v>89</v>
      </c>
      <c r="M23" s="3"/>
    </row>
    <row r="24" spans="1:13" ht="316.8">
      <c r="A24" s="11"/>
      <c r="B24" s="1" t="s">
        <v>130</v>
      </c>
      <c r="C24" s="19">
        <v>23</v>
      </c>
      <c r="D24" s="10" t="s">
        <v>128</v>
      </c>
      <c r="E24" s="3" t="s">
        <v>56</v>
      </c>
      <c r="F24" s="3" t="s">
        <v>16</v>
      </c>
      <c r="G24" s="3" t="s">
        <v>86</v>
      </c>
      <c r="H24" s="9" t="s">
        <v>87</v>
      </c>
      <c r="I24" s="3"/>
      <c r="J24" s="3"/>
      <c r="K24" s="3"/>
      <c r="L24" s="4" t="s">
        <v>89</v>
      </c>
      <c r="M24" s="3"/>
    </row>
    <row r="25" spans="1:13" ht="316.8">
      <c r="A25" s="11" t="s">
        <v>130</v>
      </c>
      <c r="B25" s="1" t="s">
        <v>201</v>
      </c>
      <c r="C25" s="19">
        <v>24</v>
      </c>
      <c r="D25" s="10" t="s">
        <v>131</v>
      </c>
      <c r="E25" s="3" t="s">
        <v>56</v>
      </c>
      <c r="F25" s="3" t="s">
        <v>16</v>
      </c>
      <c r="G25" s="3" t="s">
        <v>86</v>
      </c>
      <c r="H25" s="9" t="s">
        <v>87</v>
      </c>
      <c r="I25" s="3" t="s">
        <v>355</v>
      </c>
      <c r="J25" s="16" t="s">
        <v>305</v>
      </c>
      <c r="K25" s="18"/>
      <c r="L25" s="4" t="s">
        <v>89</v>
      </c>
      <c r="M25" s="17" t="s">
        <v>356</v>
      </c>
    </row>
    <row r="26" spans="1:13" ht="316.8">
      <c r="B26" s="1" t="s">
        <v>130</v>
      </c>
      <c r="C26" s="19">
        <v>25</v>
      </c>
      <c r="D26" s="10" t="s">
        <v>196</v>
      </c>
      <c r="E26" s="3" t="s">
        <v>56</v>
      </c>
      <c r="F26" s="3" t="s">
        <v>16</v>
      </c>
      <c r="G26" s="3" t="s">
        <v>86</v>
      </c>
      <c r="H26" s="9" t="s">
        <v>87</v>
      </c>
      <c r="I26" s="3"/>
      <c r="J26" s="3"/>
      <c r="K26" s="3"/>
      <c r="L26" s="4" t="s">
        <v>89</v>
      </c>
      <c r="M26" s="3"/>
    </row>
    <row r="27" spans="1:13" ht="374.4">
      <c r="B27" s="1" t="s">
        <v>201</v>
      </c>
      <c r="C27" s="19">
        <v>26</v>
      </c>
      <c r="D27" s="10" t="s">
        <v>138</v>
      </c>
      <c r="E27" s="3" t="s">
        <v>56</v>
      </c>
      <c r="F27" s="3" t="s">
        <v>16</v>
      </c>
      <c r="G27" s="3" t="s">
        <v>86</v>
      </c>
      <c r="H27" s="9" t="s">
        <v>102</v>
      </c>
      <c r="I27" s="3"/>
      <c r="J27" s="3"/>
      <c r="K27" s="3"/>
      <c r="L27" s="4" t="s">
        <v>89</v>
      </c>
      <c r="M27" s="3"/>
    </row>
    <row r="28" spans="1:13" ht="374.4">
      <c r="B28" s="1" t="s">
        <v>130</v>
      </c>
      <c r="C28" s="19">
        <v>27</v>
      </c>
      <c r="D28" s="10" t="s">
        <v>141</v>
      </c>
      <c r="E28" s="3" t="s">
        <v>56</v>
      </c>
      <c r="F28" s="3" t="s">
        <v>16</v>
      </c>
      <c r="G28" s="3" t="s">
        <v>107</v>
      </c>
      <c r="H28" s="9" t="s">
        <v>102</v>
      </c>
      <c r="I28" s="3"/>
      <c r="J28" s="3"/>
      <c r="K28" s="3"/>
      <c r="L28" s="4" t="s">
        <v>89</v>
      </c>
      <c r="M28" s="3"/>
    </row>
    <row r="29" spans="1:13" ht="374.4">
      <c r="A29" s="11"/>
      <c r="B29" s="1" t="s">
        <v>201</v>
      </c>
      <c r="C29" s="19">
        <v>28</v>
      </c>
      <c r="D29" s="10" t="s">
        <v>142</v>
      </c>
      <c r="E29" s="3" t="s">
        <v>56</v>
      </c>
      <c r="F29" s="3" t="s">
        <v>16</v>
      </c>
      <c r="G29" s="3" t="s">
        <v>107</v>
      </c>
      <c r="H29" s="9" t="s">
        <v>102</v>
      </c>
      <c r="I29" s="3"/>
      <c r="J29" s="3"/>
      <c r="K29" s="3"/>
      <c r="L29" s="4" t="s">
        <v>89</v>
      </c>
      <c r="M29" s="3"/>
    </row>
    <row r="30" spans="1:13" ht="374.4">
      <c r="A30" s="11"/>
      <c r="B30" s="1" t="s">
        <v>130</v>
      </c>
      <c r="C30" s="19">
        <v>29</v>
      </c>
      <c r="D30" s="10" t="s">
        <v>146</v>
      </c>
      <c r="E30" s="3" t="s">
        <v>56</v>
      </c>
      <c r="F30" s="3" t="s">
        <v>16</v>
      </c>
      <c r="G30" s="3" t="s">
        <v>107</v>
      </c>
      <c r="H30" s="9" t="s">
        <v>102</v>
      </c>
      <c r="I30" s="3"/>
      <c r="J30" s="3"/>
      <c r="K30" s="3"/>
      <c r="L30" s="4" t="s">
        <v>89</v>
      </c>
      <c r="M30" s="3"/>
    </row>
    <row r="31" spans="1:13" ht="230.4" hidden="1">
      <c r="C31" s="12">
        <v>30</v>
      </c>
      <c r="D31" s="12" t="s">
        <v>46</v>
      </c>
      <c r="E31" s="13" t="s">
        <v>56</v>
      </c>
      <c r="F31" s="13" t="s">
        <v>16</v>
      </c>
      <c r="G31" s="13" t="s">
        <v>63</v>
      </c>
      <c r="H31" s="9" t="s">
        <v>18</v>
      </c>
      <c r="I31" s="3"/>
      <c r="J31" s="3"/>
      <c r="K31" s="3"/>
      <c r="L31" s="4" t="s">
        <v>64</v>
      </c>
      <c r="M31" s="3"/>
    </row>
    <row r="32" spans="1:13" ht="230.4">
      <c r="A32" s="11"/>
      <c r="B32" s="1" t="s">
        <v>130</v>
      </c>
      <c r="C32" s="19">
        <v>31</v>
      </c>
      <c r="D32" s="3" t="s">
        <v>47</v>
      </c>
      <c r="E32" s="3" t="s">
        <v>56</v>
      </c>
      <c r="F32" s="3" t="s">
        <v>16</v>
      </c>
      <c r="G32" s="3" t="s">
        <v>149</v>
      </c>
      <c r="H32" s="9" t="s">
        <v>18</v>
      </c>
      <c r="I32" s="3"/>
      <c r="J32" s="3"/>
      <c r="K32" s="3"/>
      <c r="L32" s="4" t="s">
        <v>151</v>
      </c>
      <c r="M32" s="3"/>
    </row>
    <row r="33" spans="1:13" ht="230.4">
      <c r="A33" s="11"/>
      <c r="B33" s="1" t="s">
        <v>201</v>
      </c>
      <c r="C33" s="19">
        <v>32</v>
      </c>
      <c r="D33" s="3" t="s">
        <v>49</v>
      </c>
      <c r="E33" s="3" t="s">
        <v>56</v>
      </c>
      <c r="F33" s="3" t="s">
        <v>16</v>
      </c>
      <c r="G33" s="3" t="s">
        <v>63</v>
      </c>
      <c r="H33" s="9" t="s">
        <v>18</v>
      </c>
      <c r="I33" s="3"/>
      <c r="J33" s="3"/>
      <c r="K33" s="3"/>
      <c r="L33" s="4" t="s">
        <v>154</v>
      </c>
      <c r="M33" s="3"/>
    </row>
  </sheetData>
  <autoFilter ref="A1:M33" xr:uid="{DCB37448-7794-4D71-83D8-79D0F3D93892}">
    <filterColumn colId="2">
      <colorFilter dxfId="0"/>
    </filterColumn>
  </autoFilter>
  <hyperlinks>
    <hyperlink ref="L2" r:id="rId1" xr:uid="{3A163064-5AF9-4CE1-8D0B-DDACF8AB3FE6}"/>
    <hyperlink ref="L3:L5" r:id="rId2" display="https://app.clickup.com/t/8499449/APP-250" xr:uid="{A23F80B5-875F-4A85-B4E5-967DDF671A2A}"/>
    <hyperlink ref="L6" r:id="rId3" display="https://app.clickup.com/t/8499449/APP-250" xr:uid="{0760AAB3-A910-4568-86A6-59531452C647}"/>
    <hyperlink ref="L7:L12" r:id="rId4" display="https://app.clickup.com/t/8499449/APP-250" xr:uid="{1C503649-E1B9-4249-9537-D17951EFD13E}"/>
    <hyperlink ref="L16" r:id="rId5" display="https://app.clickup.com/t/8499449/APP-250" xr:uid="{DAA2D129-7E50-434D-8205-799FB9C6C769}"/>
    <hyperlink ref="L8" r:id="rId6" display="https://app.clickup.com/t/8499449/APP-250" xr:uid="{73A9E57E-9F93-4F52-82A7-4E97ED38FD6C}"/>
    <hyperlink ref="L9" r:id="rId7" display="https://app.clickup.com/t/8499449/APP-250" xr:uid="{BDDAC203-4307-41A8-976B-71F33699547A}"/>
    <hyperlink ref="L10" r:id="rId8" display="https://app.clickup.com/t/8499449/APP-250" xr:uid="{80469A47-FFC7-4EB1-B038-EB5E1323EFD4}"/>
    <hyperlink ref="L11" r:id="rId9" display="https://app.clickup.com/t/8499449/APP-250" xr:uid="{E1E010C5-9DE0-4317-96A8-3B7D148433E0}"/>
    <hyperlink ref="L13" r:id="rId10" display="https://app.clickup.com/t/8499449/APP-250" xr:uid="{B7B57803-A9DA-4562-AB51-58B643207760}"/>
    <hyperlink ref="L14" r:id="rId11" display="https://app.clickup.com/t/8499449/APP-250" xr:uid="{5C00BE68-E34E-4125-9E5C-0AD50D27470C}"/>
    <hyperlink ref="L15" r:id="rId12" display="https://app.clickup.com/t/8499449/APP-250" xr:uid="{E7CE7AB6-D62D-4892-8862-A1DC92AE90BC}"/>
    <hyperlink ref="L17:L19" r:id="rId13" display="https://app.clickup.com/t/8499449/APP-250" xr:uid="{CFDB9D35-60BE-4821-9FC3-94023C1F2A3F}"/>
    <hyperlink ref="L20" r:id="rId14" display="https://app.clickup.com/t/8499449/APP-250" xr:uid="{FB66AEBB-3FA9-467C-A242-7E442419E09F}"/>
    <hyperlink ref="L21:L27" r:id="rId15" display="https://app.clickup.com/t/8499449/APP-250" xr:uid="{13B08204-C671-4183-9355-58405B317016}"/>
    <hyperlink ref="L31" r:id="rId16" display="https://app.clickup.com/t/8499449/APP-250" xr:uid="{11BAB7CA-176C-4CC8-A304-49F4361C45B3}"/>
    <hyperlink ref="L23" r:id="rId17" display="https://app.clickup.com/t/8499449/APP-250" xr:uid="{9CDD7700-6FA2-4D23-A79B-3A4579B4210D}"/>
    <hyperlink ref="L24" r:id="rId18" display="https://app.clickup.com/t/8499449/APP-250" xr:uid="{E9CC7AB0-E608-45EF-9C12-9E683EEB70B1}"/>
    <hyperlink ref="L25" r:id="rId19" display="https://app.clickup.com/t/8499449/APP-250" xr:uid="{8E449E19-185F-4637-86E0-AF79641FC5C0}"/>
    <hyperlink ref="L26" r:id="rId20" display="https://app.clickup.com/t/8499449/APP-250" xr:uid="{9F208E3B-1ECC-4342-BE31-8774851DC190}"/>
    <hyperlink ref="L28" r:id="rId21" display="https://app.clickup.com/t/8499449/APP-250" xr:uid="{7AB09CE2-38FB-43CA-9030-598BEF1B0DE5}"/>
    <hyperlink ref="L29" r:id="rId22" display="https://app.clickup.com/t/8499449/APP-250" xr:uid="{509363EF-C1D0-44B1-AD43-8E5304D723D7}"/>
    <hyperlink ref="L30" r:id="rId23" display="https://app.clickup.com/t/8499449/APP-250" xr:uid="{B344D6CE-5382-435F-8ADE-621C351AF08C}"/>
    <hyperlink ref="L32" r:id="rId24" display="https://app.clickup.com/t/8499449/APP-250" xr:uid="{8F6F444F-1C60-44CA-A48B-01ADDAA494A7}"/>
    <hyperlink ref="L33" r:id="rId25" display="https://app.clickup.com/t/8499449/APP-250" xr:uid="{DF68B390-3A8D-4837-94CD-6D952C020038}"/>
    <hyperlink ref="M7" r:id="rId26" xr:uid="{22A4BD63-282A-478E-ADC4-D5CF126F531B}"/>
    <hyperlink ref="M12" r:id="rId27" xr:uid="{D1F1C422-BD85-430A-91E9-4F069456DF9E}"/>
    <hyperlink ref="M15" r:id="rId28" xr:uid="{ED8B8A4C-47F3-4F6A-9F63-19C2C474BB76}"/>
    <hyperlink ref="M21" r:id="rId29" xr:uid="{749B9B56-93B3-48C0-8EDA-8DB32DB663A8}"/>
    <hyperlink ref="M25" r:id="rId30" xr:uid="{DC3AF4F4-CCD9-4B84-9DCE-BE80661F31D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91AA-1038-4BD9-85C2-55A46D475EEA}">
  <dimension ref="A1:AE16"/>
  <sheetViews>
    <sheetView workbookViewId="0">
      <selection activeCell="A13" sqref="A13"/>
    </sheetView>
  </sheetViews>
  <sheetFormatPr baseColWidth="10" defaultColWidth="11.44140625" defaultRowHeight="14.4"/>
  <cols>
    <col min="1" max="1" width="4.6640625" style="31" customWidth="1"/>
    <col min="2" max="2" width="7" style="31" customWidth="1"/>
    <col min="3" max="3" width="39.33203125" style="31" bestFit="1" customWidth="1"/>
    <col min="4" max="4" width="13.88671875" style="31" hidden="1" customWidth="1"/>
    <col min="5" max="5" width="15.33203125" style="31" hidden="1" customWidth="1"/>
    <col min="6" max="7" width="12.44140625" style="31" customWidth="1"/>
    <col min="8" max="8" width="13" style="31" customWidth="1"/>
    <col min="9" max="10" width="11.44140625" style="31" customWidth="1"/>
    <col min="11" max="11" width="12.44140625" style="31" customWidth="1"/>
    <col min="12" max="12" width="11.88671875" style="31" customWidth="1"/>
    <col min="13" max="13" width="4.5546875" style="36" hidden="1" customWidth="1"/>
    <col min="14" max="14" width="11.44140625" style="36" customWidth="1"/>
    <col min="15" max="15" width="26.33203125" style="36" bestFit="1" customWidth="1"/>
    <col min="16" max="19" width="5.6640625" style="31" customWidth="1"/>
    <col min="20" max="20" width="2.88671875" style="31" customWidth="1"/>
    <col min="21" max="21" width="2.44140625" style="43" customWidth="1"/>
    <col min="22" max="22" width="4.44140625" style="31" hidden="1" customWidth="1"/>
    <col min="23" max="24" width="4.33203125" style="31" hidden="1" customWidth="1"/>
    <col min="25" max="25" width="34.44140625" style="31" customWidth="1"/>
    <col min="26" max="26" width="15.88671875" style="31" bestFit="1" customWidth="1"/>
    <col min="27" max="27" width="10.6640625" style="31" customWidth="1"/>
    <col min="28" max="28" width="15" style="31" bestFit="1" customWidth="1"/>
    <col min="29" max="29" width="14.44140625" style="31" bestFit="1" customWidth="1"/>
    <col min="30" max="30" width="23.44140625" style="31" bestFit="1" customWidth="1"/>
    <col min="31" max="31" width="31.33203125" style="31" bestFit="1" customWidth="1"/>
    <col min="32" max="252" width="9.109375" style="31"/>
    <col min="253" max="254" width="2.44140625" style="31" customWidth="1"/>
    <col min="255" max="255" width="32.109375" style="31" bestFit="1" customWidth="1"/>
    <col min="256" max="256" width="39.33203125" style="31" bestFit="1" customWidth="1"/>
    <col min="257" max="258" width="12.44140625" style="31" customWidth="1"/>
    <col min="259" max="259" width="13" style="31" customWidth="1"/>
    <col min="260" max="261" width="11.44140625" style="31" customWidth="1"/>
    <col min="262" max="263" width="12.109375" style="31" customWidth="1"/>
    <col min="264" max="266" width="12.44140625" style="31" customWidth="1"/>
    <col min="267" max="267" width="11.44140625" style="31" customWidth="1"/>
    <col min="268" max="268" width="13.109375" style="31" bestFit="1" customWidth="1"/>
    <col min="269" max="269" width="7.88671875" style="31" customWidth="1"/>
    <col min="270" max="273" width="5.6640625" style="31" customWidth="1"/>
    <col min="274" max="274" width="2.88671875" style="31" customWidth="1"/>
    <col min="275" max="275" width="2.44140625" style="31" customWidth="1"/>
    <col min="276" max="278" width="0" style="31" hidden="1" customWidth="1"/>
    <col min="279" max="279" width="14.109375" style="31" customWidth="1"/>
    <col min="280" max="280" width="11.44140625" style="31" customWidth="1"/>
    <col min="281" max="281" width="34.44140625" style="31" customWidth="1"/>
    <col min="282" max="282" width="15.88671875" style="31" bestFit="1" customWidth="1"/>
    <col min="283" max="283" width="10.6640625" style="31" customWidth="1"/>
    <col min="284" max="284" width="15" style="31" bestFit="1" customWidth="1"/>
    <col min="285" max="285" width="14.44140625" style="31" bestFit="1" customWidth="1"/>
    <col min="286" max="286" width="23.44140625" style="31" bestFit="1" customWidth="1"/>
    <col min="287" max="287" width="31.33203125" style="31" bestFit="1" customWidth="1"/>
    <col min="288" max="508" width="9.109375" style="31"/>
    <col min="509" max="510" width="2.44140625" style="31" customWidth="1"/>
    <col min="511" max="511" width="32.109375" style="31" bestFit="1" customWidth="1"/>
    <col min="512" max="512" width="39.33203125" style="31" bestFit="1" customWidth="1"/>
    <col min="513" max="514" width="12.44140625" style="31" customWidth="1"/>
    <col min="515" max="515" width="13" style="31" customWidth="1"/>
    <col min="516" max="517" width="11.44140625" style="31" customWidth="1"/>
    <col min="518" max="519" width="12.109375" style="31" customWidth="1"/>
    <col min="520" max="522" width="12.44140625" style="31" customWidth="1"/>
    <col min="523" max="523" width="11.44140625" style="31" customWidth="1"/>
    <col min="524" max="524" width="13.109375" style="31" bestFit="1" customWidth="1"/>
    <col min="525" max="525" width="7.88671875" style="31" customWidth="1"/>
    <col min="526" max="529" width="5.6640625" style="31" customWidth="1"/>
    <col min="530" max="530" width="2.88671875" style="31" customWidth="1"/>
    <col min="531" max="531" width="2.44140625" style="31" customWidth="1"/>
    <col min="532" max="534" width="0" style="31" hidden="1" customWidth="1"/>
    <col min="535" max="535" width="14.109375" style="31" customWidth="1"/>
    <col min="536" max="536" width="11.44140625" style="31" customWidth="1"/>
    <col min="537" max="537" width="34.44140625" style="31" customWidth="1"/>
    <col min="538" max="538" width="15.88671875" style="31" bestFit="1" customWidth="1"/>
    <col min="539" max="539" width="10.6640625" style="31" customWidth="1"/>
    <col min="540" max="540" width="15" style="31" bestFit="1" customWidth="1"/>
    <col min="541" max="541" width="14.44140625" style="31" bestFit="1" customWidth="1"/>
    <col min="542" max="542" width="23.44140625" style="31" bestFit="1" customWidth="1"/>
    <col min="543" max="543" width="31.33203125" style="31" bestFit="1" customWidth="1"/>
    <col min="544" max="764" width="9.109375" style="31"/>
    <col min="765" max="766" width="2.44140625" style="31" customWidth="1"/>
    <col min="767" max="767" width="32.109375" style="31" bestFit="1" customWidth="1"/>
    <col min="768" max="768" width="39.33203125" style="31" bestFit="1" customWidth="1"/>
    <col min="769" max="770" width="12.44140625" style="31" customWidth="1"/>
    <col min="771" max="771" width="13" style="31" customWidth="1"/>
    <col min="772" max="773" width="11.44140625" style="31" customWidth="1"/>
    <col min="774" max="775" width="12.109375" style="31" customWidth="1"/>
    <col min="776" max="778" width="12.44140625" style="31" customWidth="1"/>
    <col min="779" max="779" width="11.44140625" style="31" customWidth="1"/>
    <col min="780" max="780" width="13.109375" style="31" bestFit="1" customWidth="1"/>
    <col min="781" max="781" width="7.88671875" style="31" customWidth="1"/>
    <col min="782" max="785" width="5.6640625" style="31" customWidth="1"/>
    <col min="786" max="786" width="2.88671875" style="31" customWidth="1"/>
    <col min="787" max="787" width="2.44140625" style="31" customWidth="1"/>
    <col min="788" max="790" width="0" style="31" hidden="1" customWidth="1"/>
    <col min="791" max="791" width="14.109375" style="31" customWidth="1"/>
    <col min="792" max="792" width="11.44140625" style="31" customWidth="1"/>
    <col min="793" max="793" width="34.44140625" style="31" customWidth="1"/>
    <col min="794" max="794" width="15.88671875" style="31" bestFit="1" customWidth="1"/>
    <col min="795" max="795" width="10.6640625" style="31" customWidth="1"/>
    <col min="796" max="796" width="15" style="31" bestFit="1" customWidth="1"/>
    <col min="797" max="797" width="14.44140625" style="31" bestFit="1" customWidth="1"/>
    <col min="798" max="798" width="23.44140625" style="31" bestFit="1" customWidth="1"/>
    <col min="799" max="799" width="31.33203125" style="31" bestFit="1" customWidth="1"/>
    <col min="800" max="1020" width="9.109375" style="31"/>
    <col min="1021" max="1022" width="2.44140625" style="31" customWidth="1"/>
    <col min="1023" max="1023" width="32.109375" style="31" bestFit="1" customWidth="1"/>
    <col min="1024" max="1024" width="39.33203125" style="31" bestFit="1" customWidth="1"/>
    <col min="1025" max="1026" width="12.44140625" style="31" customWidth="1"/>
    <col min="1027" max="1027" width="13" style="31" customWidth="1"/>
    <col min="1028" max="1029" width="11.44140625" style="31" customWidth="1"/>
    <col min="1030" max="1031" width="12.109375" style="31" customWidth="1"/>
    <col min="1032" max="1034" width="12.44140625" style="31" customWidth="1"/>
    <col min="1035" max="1035" width="11.44140625" style="31" customWidth="1"/>
    <col min="1036" max="1036" width="13.109375" style="31" bestFit="1" customWidth="1"/>
    <col min="1037" max="1037" width="7.88671875" style="31" customWidth="1"/>
    <col min="1038" max="1041" width="5.6640625" style="31" customWidth="1"/>
    <col min="1042" max="1042" width="2.88671875" style="31" customWidth="1"/>
    <col min="1043" max="1043" width="2.44140625" style="31" customWidth="1"/>
    <col min="1044" max="1046" width="0" style="31" hidden="1" customWidth="1"/>
    <col min="1047" max="1047" width="14.109375" style="31" customWidth="1"/>
    <col min="1048" max="1048" width="11.44140625" style="31" customWidth="1"/>
    <col min="1049" max="1049" width="34.44140625" style="31" customWidth="1"/>
    <col min="1050" max="1050" width="15.88671875" style="31" bestFit="1" customWidth="1"/>
    <col min="1051" max="1051" width="10.6640625" style="31" customWidth="1"/>
    <col min="1052" max="1052" width="15" style="31" bestFit="1" customWidth="1"/>
    <col min="1053" max="1053" width="14.44140625" style="31" bestFit="1" customWidth="1"/>
    <col min="1054" max="1054" width="23.44140625" style="31" bestFit="1" customWidth="1"/>
    <col min="1055" max="1055" width="31.33203125" style="31" bestFit="1" customWidth="1"/>
    <col min="1056" max="1276" width="9.109375" style="31"/>
    <col min="1277" max="1278" width="2.44140625" style="31" customWidth="1"/>
    <col min="1279" max="1279" width="32.109375" style="31" bestFit="1" customWidth="1"/>
    <col min="1280" max="1280" width="39.33203125" style="31" bestFit="1" customWidth="1"/>
    <col min="1281" max="1282" width="12.44140625" style="31" customWidth="1"/>
    <col min="1283" max="1283" width="13" style="31" customWidth="1"/>
    <col min="1284" max="1285" width="11.44140625" style="31" customWidth="1"/>
    <col min="1286" max="1287" width="12.109375" style="31" customWidth="1"/>
    <col min="1288" max="1290" width="12.44140625" style="31" customWidth="1"/>
    <col min="1291" max="1291" width="11.44140625" style="31" customWidth="1"/>
    <col min="1292" max="1292" width="13.109375" style="31" bestFit="1" customWidth="1"/>
    <col min="1293" max="1293" width="7.88671875" style="31" customWidth="1"/>
    <col min="1294" max="1297" width="5.6640625" style="31" customWidth="1"/>
    <col min="1298" max="1298" width="2.88671875" style="31" customWidth="1"/>
    <col min="1299" max="1299" width="2.44140625" style="31" customWidth="1"/>
    <col min="1300" max="1302" width="0" style="31" hidden="1" customWidth="1"/>
    <col min="1303" max="1303" width="14.109375" style="31" customWidth="1"/>
    <col min="1304" max="1304" width="11.44140625" style="31" customWidth="1"/>
    <col min="1305" max="1305" width="34.44140625" style="31" customWidth="1"/>
    <col min="1306" max="1306" width="15.88671875" style="31" bestFit="1" customWidth="1"/>
    <col min="1307" max="1307" width="10.6640625" style="31" customWidth="1"/>
    <col min="1308" max="1308" width="15" style="31" bestFit="1" customWidth="1"/>
    <col min="1309" max="1309" width="14.44140625" style="31" bestFit="1" customWidth="1"/>
    <col min="1310" max="1310" width="23.44140625" style="31" bestFit="1" customWidth="1"/>
    <col min="1311" max="1311" width="31.33203125" style="31" bestFit="1" customWidth="1"/>
    <col min="1312" max="1532" width="9.109375" style="31"/>
    <col min="1533" max="1534" width="2.44140625" style="31" customWidth="1"/>
    <col min="1535" max="1535" width="32.109375" style="31" bestFit="1" customWidth="1"/>
    <col min="1536" max="1536" width="39.33203125" style="31" bestFit="1" customWidth="1"/>
    <col min="1537" max="1538" width="12.44140625" style="31" customWidth="1"/>
    <col min="1539" max="1539" width="13" style="31" customWidth="1"/>
    <col min="1540" max="1541" width="11.44140625" style="31" customWidth="1"/>
    <col min="1542" max="1543" width="12.109375" style="31" customWidth="1"/>
    <col min="1544" max="1546" width="12.44140625" style="31" customWidth="1"/>
    <col min="1547" max="1547" width="11.44140625" style="31" customWidth="1"/>
    <col min="1548" max="1548" width="13.109375" style="31" bestFit="1" customWidth="1"/>
    <col min="1549" max="1549" width="7.88671875" style="31" customWidth="1"/>
    <col min="1550" max="1553" width="5.6640625" style="31" customWidth="1"/>
    <col min="1554" max="1554" width="2.88671875" style="31" customWidth="1"/>
    <col min="1555" max="1555" width="2.44140625" style="31" customWidth="1"/>
    <col min="1556" max="1558" width="0" style="31" hidden="1" customWidth="1"/>
    <col min="1559" max="1559" width="14.109375" style="31" customWidth="1"/>
    <col min="1560" max="1560" width="11.44140625" style="31" customWidth="1"/>
    <col min="1561" max="1561" width="34.44140625" style="31" customWidth="1"/>
    <col min="1562" max="1562" width="15.88671875" style="31" bestFit="1" customWidth="1"/>
    <col min="1563" max="1563" width="10.6640625" style="31" customWidth="1"/>
    <col min="1564" max="1564" width="15" style="31" bestFit="1" customWidth="1"/>
    <col min="1565" max="1565" width="14.44140625" style="31" bestFit="1" customWidth="1"/>
    <col min="1566" max="1566" width="23.44140625" style="31" bestFit="1" customWidth="1"/>
    <col min="1567" max="1567" width="31.33203125" style="31" bestFit="1" customWidth="1"/>
    <col min="1568" max="1788" width="9.109375" style="31"/>
    <col min="1789" max="1790" width="2.44140625" style="31" customWidth="1"/>
    <col min="1791" max="1791" width="32.109375" style="31" bestFit="1" customWidth="1"/>
    <col min="1792" max="1792" width="39.33203125" style="31" bestFit="1" customWidth="1"/>
    <col min="1793" max="1794" width="12.44140625" style="31" customWidth="1"/>
    <col min="1795" max="1795" width="13" style="31" customWidth="1"/>
    <col min="1796" max="1797" width="11.44140625" style="31" customWidth="1"/>
    <col min="1798" max="1799" width="12.109375" style="31" customWidth="1"/>
    <col min="1800" max="1802" width="12.44140625" style="31" customWidth="1"/>
    <col min="1803" max="1803" width="11.44140625" style="31" customWidth="1"/>
    <col min="1804" max="1804" width="13.109375" style="31" bestFit="1" customWidth="1"/>
    <col min="1805" max="1805" width="7.88671875" style="31" customWidth="1"/>
    <col min="1806" max="1809" width="5.6640625" style="31" customWidth="1"/>
    <col min="1810" max="1810" width="2.88671875" style="31" customWidth="1"/>
    <col min="1811" max="1811" width="2.44140625" style="31" customWidth="1"/>
    <col min="1812" max="1814" width="0" style="31" hidden="1" customWidth="1"/>
    <col min="1815" max="1815" width="14.109375" style="31" customWidth="1"/>
    <col min="1816" max="1816" width="11.44140625" style="31" customWidth="1"/>
    <col min="1817" max="1817" width="34.44140625" style="31" customWidth="1"/>
    <col min="1818" max="1818" width="15.88671875" style="31" bestFit="1" customWidth="1"/>
    <col min="1819" max="1819" width="10.6640625" style="31" customWidth="1"/>
    <col min="1820" max="1820" width="15" style="31" bestFit="1" customWidth="1"/>
    <col min="1821" max="1821" width="14.44140625" style="31" bestFit="1" customWidth="1"/>
    <col min="1822" max="1822" width="23.44140625" style="31" bestFit="1" customWidth="1"/>
    <col min="1823" max="1823" width="31.33203125" style="31" bestFit="1" customWidth="1"/>
    <col min="1824" max="2044" width="9.109375" style="31"/>
    <col min="2045" max="2046" width="2.44140625" style="31" customWidth="1"/>
    <col min="2047" max="2047" width="32.109375" style="31" bestFit="1" customWidth="1"/>
    <col min="2048" max="2048" width="39.33203125" style="31" bestFit="1" customWidth="1"/>
    <col min="2049" max="2050" width="12.44140625" style="31" customWidth="1"/>
    <col min="2051" max="2051" width="13" style="31" customWidth="1"/>
    <col min="2052" max="2053" width="11.44140625" style="31" customWidth="1"/>
    <col min="2054" max="2055" width="12.109375" style="31" customWidth="1"/>
    <col min="2056" max="2058" width="12.44140625" style="31" customWidth="1"/>
    <col min="2059" max="2059" width="11.44140625" style="31" customWidth="1"/>
    <col min="2060" max="2060" width="13.109375" style="31" bestFit="1" customWidth="1"/>
    <col min="2061" max="2061" width="7.88671875" style="31" customWidth="1"/>
    <col min="2062" max="2065" width="5.6640625" style="31" customWidth="1"/>
    <col min="2066" max="2066" width="2.88671875" style="31" customWidth="1"/>
    <col min="2067" max="2067" width="2.44140625" style="31" customWidth="1"/>
    <col min="2068" max="2070" width="0" style="31" hidden="1" customWidth="1"/>
    <col min="2071" max="2071" width="14.109375" style="31" customWidth="1"/>
    <col min="2072" max="2072" width="11.44140625" style="31" customWidth="1"/>
    <col min="2073" max="2073" width="34.44140625" style="31" customWidth="1"/>
    <col min="2074" max="2074" width="15.88671875" style="31" bestFit="1" customWidth="1"/>
    <col min="2075" max="2075" width="10.6640625" style="31" customWidth="1"/>
    <col min="2076" max="2076" width="15" style="31" bestFit="1" customWidth="1"/>
    <col min="2077" max="2077" width="14.44140625" style="31" bestFit="1" customWidth="1"/>
    <col min="2078" max="2078" width="23.44140625" style="31" bestFit="1" customWidth="1"/>
    <col min="2079" max="2079" width="31.33203125" style="31" bestFit="1" customWidth="1"/>
    <col min="2080" max="2300" width="9.109375" style="31"/>
    <col min="2301" max="2302" width="2.44140625" style="31" customWidth="1"/>
    <col min="2303" max="2303" width="32.109375" style="31" bestFit="1" customWidth="1"/>
    <col min="2304" max="2304" width="39.33203125" style="31" bestFit="1" customWidth="1"/>
    <col min="2305" max="2306" width="12.44140625" style="31" customWidth="1"/>
    <col min="2307" max="2307" width="13" style="31" customWidth="1"/>
    <col min="2308" max="2309" width="11.44140625" style="31" customWidth="1"/>
    <col min="2310" max="2311" width="12.109375" style="31" customWidth="1"/>
    <col min="2312" max="2314" width="12.44140625" style="31" customWidth="1"/>
    <col min="2315" max="2315" width="11.44140625" style="31" customWidth="1"/>
    <col min="2316" max="2316" width="13.109375" style="31" bestFit="1" customWidth="1"/>
    <col min="2317" max="2317" width="7.88671875" style="31" customWidth="1"/>
    <col min="2318" max="2321" width="5.6640625" style="31" customWidth="1"/>
    <col min="2322" max="2322" width="2.88671875" style="31" customWidth="1"/>
    <col min="2323" max="2323" width="2.44140625" style="31" customWidth="1"/>
    <col min="2324" max="2326" width="0" style="31" hidden="1" customWidth="1"/>
    <col min="2327" max="2327" width="14.109375" style="31" customWidth="1"/>
    <col min="2328" max="2328" width="11.44140625" style="31" customWidth="1"/>
    <col min="2329" max="2329" width="34.44140625" style="31" customWidth="1"/>
    <col min="2330" max="2330" width="15.88671875" style="31" bestFit="1" customWidth="1"/>
    <col min="2331" max="2331" width="10.6640625" style="31" customWidth="1"/>
    <col min="2332" max="2332" width="15" style="31" bestFit="1" customWidth="1"/>
    <col min="2333" max="2333" width="14.44140625" style="31" bestFit="1" customWidth="1"/>
    <col min="2334" max="2334" width="23.44140625" style="31" bestFit="1" customWidth="1"/>
    <col min="2335" max="2335" width="31.33203125" style="31" bestFit="1" customWidth="1"/>
    <col min="2336" max="2556" width="9.109375" style="31"/>
    <col min="2557" max="2558" width="2.44140625" style="31" customWidth="1"/>
    <col min="2559" max="2559" width="32.109375" style="31" bestFit="1" customWidth="1"/>
    <col min="2560" max="2560" width="39.33203125" style="31" bestFit="1" customWidth="1"/>
    <col min="2561" max="2562" width="12.44140625" style="31" customWidth="1"/>
    <col min="2563" max="2563" width="13" style="31" customWidth="1"/>
    <col min="2564" max="2565" width="11.44140625" style="31" customWidth="1"/>
    <col min="2566" max="2567" width="12.109375" style="31" customWidth="1"/>
    <col min="2568" max="2570" width="12.44140625" style="31" customWidth="1"/>
    <col min="2571" max="2571" width="11.44140625" style="31" customWidth="1"/>
    <col min="2572" max="2572" width="13.109375" style="31" bestFit="1" customWidth="1"/>
    <col min="2573" max="2573" width="7.88671875" style="31" customWidth="1"/>
    <col min="2574" max="2577" width="5.6640625" style="31" customWidth="1"/>
    <col min="2578" max="2578" width="2.88671875" style="31" customWidth="1"/>
    <col min="2579" max="2579" width="2.44140625" style="31" customWidth="1"/>
    <col min="2580" max="2582" width="0" style="31" hidden="1" customWidth="1"/>
    <col min="2583" max="2583" width="14.109375" style="31" customWidth="1"/>
    <col min="2584" max="2584" width="11.44140625" style="31" customWidth="1"/>
    <col min="2585" max="2585" width="34.44140625" style="31" customWidth="1"/>
    <col min="2586" max="2586" width="15.88671875" style="31" bestFit="1" customWidth="1"/>
    <col min="2587" max="2587" width="10.6640625" style="31" customWidth="1"/>
    <col min="2588" max="2588" width="15" style="31" bestFit="1" customWidth="1"/>
    <col min="2589" max="2589" width="14.44140625" style="31" bestFit="1" customWidth="1"/>
    <col min="2590" max="2590" width="23.44140625" style="31" bestFit="1" customWidth="1"/>
    <col min="2591" max="2591" width="31.33203125" style="31" bestFit="1" customWidth="1"/>
    <col min="2592" max="2812" width="9.109375" style="31"/>
    <col min="2813" max="2814" width="2.44140625" style="31" customWidth="1"/>
    <col min="2815" max="2815" width="32.109375" style="31" bestFit="1" customWidth="1"/>
    <col min="2816" max="2816" width="39.33203125" style="31" bestFit="1" customWidth="1"/>
    <col min="2817" max="2818" width="12.44140625" style="31" customWidth="1"/>
    <col min="2819" max="2819" width="13" style="31" customWidth="1"/>
    <col min="2820" max="2821" width="11.44140625" style="31" customWidth="1"/>
    <col min="2822" max="2823" width="12.109375" style="31" customWidth="1"/>
    <col min="2824" max="2826" width="12.44140625" style="31" customWidth="1"/>
    <col min="2827" max="2827" width="11.44140625" style="31" customWidth="1"/>
    <col min="2828" max="2828" width="13.109375" style="31" bestFit="1" customWidth="1"/>
    <col min="2829" max="2829" width="7.88671875" style="31" customWidth="1"/>
    <col min="2830" max="2833" width="5.6640625" style="31" customWidth="1"/>
    <col min="2834" max="2834" width="2.88671875" style="31" customWidth="1"/>
    <col min="2835" max="2835" width="2.44140625" style="31" customWidth="1"/>
    <col min="2836" max="2838" width="0" style="31" hidden="1" customWidth="1"/>
    <col min="2839" max="2839" width="14.109375" style="31" customWidth="1"/>
    <col min="2840" max="2840" width="11.44140625" style="31" customWidth="1"/>
    <col min="2841" max="2841" width="34.44140625" style="31" customWidth="1"/>
    <col min="2842" max="2842" width="15.88671875" style="31" bestFit="1" customWidth="1"/>
    <col min="2843" max="2843" width="10.6640625" style="31" customWidth="1"/>
    <col min="2844" max="2844" width="15" style="31" bestFit="1" customWidth="1"/>
    <col min="2845" max="2845" width="14.44140625" style="31" bestFit="1" customWidth="1"/>
    <col min="2846" max="2846" width="23.44140625" style="31" bestFit="1" customWidth="1"/>
    <col min="2847" max="2847" width="31.33203125" style="31" bestFit="1" customWidth="1"/>
    <col min="2848" max="3068" width="9.109375" style="31"/>
    <col min="3069" max="3070" width="2.44140625" style="31" customWidth="1"/>
    <col min="3071" max="3071" width="32.109375" style="31" bestFit="1" customWidth="1"/>
    <col min="3072" max="3072" width="39.33203125" style="31" bestFit="1" customWidth="1"/>
    <col min="3073" max="3074" width="12.44140625" style="31" customWidth="1"/>
    <col min="3075" max="3075" width="13" style="31" customWidth="1"/>
    <col min="3076" max="3077" width="11.44140625" style="31" customWidth="1"/>
    <col min="3078" max="3079" width="12.109375" style="31" customWidth="1"/>
    <col min="3080" max="3082" width="12.44140625" style="31" customWidth="1"/>
    <col min="3083" max="3083" width="11.44140625" style="31" customWidth="1"/>
    <col min="3084" max="3084" width="13.109375" style="31" bestFit="1" customWidth="1"/>
    <col min="3085" max="3085" width="7.88671875" style="31" customWidth="1"/>
    <col min="3086" max="3089" width="5.6640625" style="31" customWidth="1"/>
    <col min="3090" max="3090" width="2.88671875" style="31" customWidth="1"/>
    <col min="3091" max="3091" width="2.44140625" style="31" customWidth="1"/>
    <col min="3092" max="3094" width="0" style="31" hidden="1" customWidth="1"/>
    <col min="3095" max="3095" width="14.109375" style="31" customWidth="1"/>
    <col min="3096" max="3096" width="11.44140625" style="31" customWidth="1"/>
    <col min="3097" max="3097" width="34.44140625" style="31" customWidth="1"/>
    <col min="3098" max="3098" width="15.88671875" style="31" bestFit="1" customWidth="1"/>
    <col min="3099" max="3099" width="10.6640625" style="31" customWidth="1"/>
    <col min="3100" max="3100" width="15" style="31" bestFit="1" customWidth="1"/>
    <col min="3101" max="3101" width="14.44140625" style="31" bestFit="1" customWidth="1"/>
    <col min="3102" max="3102" width="23.44140625" style="31" bestFit="1" customWidth="1"/>
    <col min="3103" max="3103" width="31.33203125" style="31" bestFit="1" customWidth="1"/>
    <col min="3104" max="3324" width="9.109375" style="31"/>
    <col min="3325" max="3326" width="2.44140625" style="31" customWidth="1"/>
    <col min="3327" max="3327" width="32.109375" style="31" bestFit="1" customWidth="1"/>
    <col min="3328" max="3328" width="39.33203125" style="31" bestFit="1" customWidth="1"/>
    <col min="3329" max="3330" width="12.44140625" style="31" customWidth="1"/>
    <col min="3331" max="3331" width="13" style="31" customWidth="1"/>
    <col min="3332" max="3333" width="11.44140625" style="31" customWidth="1"/>
    <col min="3334" max="3335" width="12.109375" style="31" customWidth="1"/>
    <col min="3336" max="3338" width="12.44140625" style="31" customWidth="1"/>
    <col min="3339" max="3339" width="11.44140625" style="31" customWidth="1"/>
    <col min="3340" max="3340" width="13.109375" style="31" bestFit="1" customWidth="1"/>
    <col min="3341" max="3341" width="7.88671875" style="31" customWidth="1"/>
    <col min="3342" max="3345" width="5.6640625" style="31" customWidth="1"/>
    <col min="3346" max="3346" width="2.88671875" style="31" customWidth="1"/>
    <col min="3347" max="3347" width="2.44140625" style="31" customWidth="1"/>
    <col min="3348" max="3350" width="0" style="31" hidden="1" customWidth="1"/>
    <col min="3351" max="3351" width="14.109375" style="31" customWidth="1"/>
    <col min="3352" max="3352" width="11.44140625" style="31" customWidth="1"/>
    <col min="3353" max="3353" width="34.44140625" style="31" customWidth="1"/>
    <col min="3354" max="3354" width="15.88671875" style="31" bestFit="1" customWidth="1"/>
    <col min="3355" max="3355" width="10.6640625" style="31" customWidth="1"/>
    <col min="3356" max="3356" width="15" style="31" bestFit="1" customWidth="1"/>
    <col min="3357" max="3357" width="14.44140625" style="31" bestFit="1" customWidth="1"/>
    <col min="3358" max="3358" width="23.44140625" style="31" bestFit="1" customWidth="1"/>
    <col min="3359" max="3359" width="31.33203125" style="31" bestFit="1" customWidth="1"/>
    <col min="3360" max="3580" width="9.109375" style="31"/>
    <col min="3581" max="3582" width="2.44140625" style="31" customWidth="1"/>
    <col min="3583" max="3583" width="32.109375" style="31" bestFit="1" customWidth="1"/>
    <col min="3584" max="3584" width="39.33203125" style="31" bestFit="1" customWidth="1"/>
    <col min="3585" max="3586" width="12.44140625" style="31" customWidth="1"/>
    <col min="3587" max="3587" width="13" style="31" customWidth="1"/>
    <col min="3588" max="3589" width="11.44140625" style="31" customWidth="1"/>
    <col min="3590" max="3591" width="12.109375" style="31" customWidth="1"/>
    <col min="3592" max="3594" width="12.44140625" style="31" customWidth="1"/>
    <col min="3595" max="3595" width="11.44140625" style="31" customWidth="1"/>
    <col min="3596" max="3596" width="13.109375" style="31" bestFit="1" customWidth="1"/>
    <col min="3597" max="3597" width="7.88671875" style="31" customWidth="1"/>
    <col min="3598" max="3601" width="5.6640625" style="31" customWidth="1"/>
    <col min="3602" max="3602" width="2.88671875" style="31" customWidth="1"/>
    <col min="3603" max="3603" width="2.44140625" style="31" customWidth="1"/>
    <col min="3604" max="3606" width="0" style="31" hidden="1" customWidth="1"/>
    <col min="3607" max="3607" width="14.109375" style="31" customWidth="1"/>
    <col min="3608" max="3608" width="11.44140625" style="31" customWidth="1"/>
    <col min="3609" max="3609" width="34.44140625" style="31" customWidth="1"/>
    <col min="3610" max="3610" width="15.88671875" style="31" bestFit="1" customWidth="1"/>
    <col min="3611" max="3611" width="10.6640625" style="31" customWidth="1"/>
    <col min="3612" max="3612" width="15" style="31" bestFit="1" customWidth="1"/>
    <col min="3613" max="3613" width="14.44140625" style="31" bestFit="1" customWidth="1"/>
    <col min="3614" max="3614" width="23.44140625" style="31" bestFit="1" customWidth="1"/>
    <col min="3615" max="3615" width="31.33203125" style="31" bestFit="1" customWidth="1"/>
    <col min="3616" max="3836" width="9.109375" style="31"/>
    <col min="3837" max="3838" width="2.44140625" style="31" customWidth="1"/>
    <col min="3839" max="3839" width="32.109375" style="31" bestFit="1" customWidth="1"/>
    <col min="3840" max="3840" width="39.33203125" style="31" bestFit="1" customWidth="1"/>
    <col min="3841" max="3842" width="12.44140625" style="31" customWidth="1"/>
    <col min="3843" max="3843" width="13" style="31" customWidth="1"/>
    <col min="3844" max="3845" width="11.44140625" style="31" customWidth="1"/>
    <col min="3846" max="3847" width="12.109375" style="31" customWidth="1"/>
    <col min="3848" max="3850" width="12.44140625" style="31" customWidth="1"/>
    <col min="3851" max="3851" width="11.44140625" style="31" customWidth="1"/>
    <col min="3852" max="3852" width="13.109375" style="31" bestFit="1" customWidth="1"/>
    <col min="3853" max="3853" width="7.88671875" style="31" customWidth="1"/>
    <col min="3854" max="3857" width="5.6640625" style="31" customWidth="1"/>
    <col min="3858" max="3858" width="2.88671875" style="31" customWidth="1"/>
    <col min="3859" max="3859" width="2.44140625" style="31" customWidth="1"/>
    <col min="3860" max="3862" width="0" style="31" hidden="1" customWidth="1"/>
    <col min="3863" max="3863" width="14.109375" style="31" customWidth="1"/>
    <col min="3864" max="3864" width="11.44140625" style="31" customWidth="1"/>
    <col min="3865" max="3865" width="34.44140625" style="31" customWidth="1"/>
    <col min="3866" max="3866" width="15.88671875" style="31" bestFit="1" customWidth="1"/>
    <col min="3867" max="3867" width="10.6640625" style="31" customWidth="1"/>
    <col min="3868" max="3868" width="15" style="31" bestFit="1" customWidth="1"/>
    <col min="3869" max="3869" width="14.44140625" style="31" bestFit="1" customWidth="1"/>
    <col min="3870" max="3870" width="23.44140625" style="31" bestFit="1" customWidth="1"/>
    <col min="3871" max="3871" width="31.33203125" style="31" bestFit="1" customWidth="1"/>
    <col min="3872" max="4092" width="9.109375" style="31"/>
    <col min="4093" max="4094" width="2.44140625" style="31" customWidth="1"/>
    <col min="4095" max="4095" width="32.109375" style="31" bestFit="1" customWidth="1"/>
    <col min="4096" max="4096" width="39.33203125" style="31" bestFit="1" customWidth="1"/>
    <col min="4097" max="4098" width="12.44140625" style="31" customWidth="1"/>
    <col min="4099" max="4099" width="13" style="31" customWidth="1"/>
    <col min="4100" max="4101" width="11.44140625" style="31" customWidth="1"/>
    <col min="4102" max="4103" width="12.109375" style="31" customWidth="1"/>
    <col min="4104" max="4106" width="12.44140625" style="31" customWidth="1"/>
    <col min="4107" max="4107" width="11.44140625" style="31" customWidth="1"/>
    <col min="4108" max="4108" width="13.109375" style="31" bestFit="1" customWidth="1"/>
    <col min="4109" max="4109" width="7.88671875" style="31" customWidth="1"/>
    <col min="4110" max="4113" width="5.6640625" style="31" customWidth="1"/>
    <col min="4114" max="4114" width="2.88671875" style="31" customWidth="1"/>
    <col min="4115" max="4115" width="2.44140625" style="31" customWidth="1"/>
    <col min="4116" max="4118" width="0" style="31" hidden="1" customWidth="1"/>
    <col min="4119" max="4119" width="14.109375" style="31" customWidth="1"/>
    <col min="4120" max="4120" width="11.44140625" style="31" customWidth="1"/>
    <col min="4121" max="4121" width="34.44140625" style="31" customWidth="1"/>
    <col min="4122" max="4122" width="15.88671875" style="31" bestFit="1" customWidth="1"/>
    <col min="4123" max="4123" width="10.6640625" style="31" customWidth="1"/>
    <col min="4124" max="4124" width="15" style="31" bestFit="1" customWidth="1"/>
    <col min="4125" max="4125" width="14.44140625" style="31" bestFit="1" customWidth="1"/>
    <col min="4126" max="4126" width="23.44140625" style="31" bestFit="1" customWidth="1"/>
    <col min="4127" max="4127" width="31.33203125" style="31" bestFit="1" customWidth="1"/>
    <col min="4128" max="4348" width="9.109375" style="31"/>
    <col min="4349" max="4350" width="2.44140625" style="31" customWidth="1"/>
    <col min="4351" max="4351" width="32.109375" style="31" bestFit="1" customWidth="1"/>
    <col min="4352" max="4352" width="39.33203125" style="31" bestFit="1" customWidth="1"/>
    <col min="4353" max="4354" width="12.44140625" style="31" customWidth="1"/>
    <col min="4355" max="4355" width="13" style="31" customWidth="1"/>
    <col min="4356" max="4357" width="11.44140625" style="31" customWidth="1"/>
    <col min="4358" max="4359" width="12.109375" style="31" customWidth="1"/>
    <col min="4360" max="4362" width="12.44140625" style="31" customWidth="1"/>
    <col min="4363" max="4363" width="11.44140625" style="31" customWidth="1"/>
    <col min="4364" max="4364" width="13.109375" style="31" bestFit="1" customWidth="1"/>
    <col min="4365" max="4365" width="7.88671875" style="31" customWidth="1"/>
    <col min="4366" max="4369" width="5.6640625" style="31" customWidth="1"/>
    <col min="4370" max="4370" width="2.88671875" style="31" customWidth="1"/>
    <col min="4371" max="4371" width="2.44140625" style="31" customWidth="1"/>
    <col min="4372" max="4374" width="0" style="31" hidden="1" customWidth="1"/>
    <col min="4375" max="4375" width="14.109375" style="31" customWidth="1"/>
    <col min="4376" max="4376" width="11.44140625" style="31" customWidth="1"/>
    <col min="4377" max="4377" width="34.44140625" style="31" customWidth="1"/>
    <col min="4378" max="4378" width="15.88671875" style="31" bestFit="1" customWidth="1"/>
    <col min="4379" max="4379" width="10.6640625" style="31" customWidth="1"/>
    <col min="4380" max="4380" width="15" style="31" bestFit="1" customWidth="1"/>
    <col min="4381" max="4381" width="14.44140625" style="31" bestFit="1" customWidth="1"/>
    <col min="4382" max="4382" width="23.44140625" style="31" bestFit="1" customWidth="1"/>
    <col min="4383" max="4383" width="31.33203125" style="31" bestFit="1" customWidth="1"/>
    <col min="4384" max="4604" width="9.109375" style="31"/>
    <col min="4605" max="4606" width="2.44140625" style="31" customWidth="1"/>
    <col min="4607" max="4607" width="32.109375" style="31" bestFit="1" customWidth="1"/>
    <col min="4608" max="4608" width="39.33203125" style="31" bestFit="1" customWidth="1"/>
    <col min="4609" max="4610" width="12.44140625" style="31" customWidth="1"/>
    <col min="4611" max="4611" width="13" style="31" customWidth="1"/>
    <col min="4612" max="4613" width="11.44140625" style="31" customWidth="1"/>
    <col min="4614" max="4615" width="12.109375" style="31" customWidth="1"/>
    <col min="4616" max="4618" width="12.44140625" style="31" customWidth="1"/>
    <col min="4619" max="4619" width="11.44140625" style="31" customWidth="1"/>
    <col min="4620" max="4620" width="13.109375" style="31" bestFit="1" customWidth="1"/>
    <col min="4621" max="4621" width="7.88671875" style="31" customWidth="1"/>
    <col min="4622" max="4625" width="5.6640625" style="31" customWidth="1"/>
    <col min="4626" max="4626" width="2.88671875" style="31" customWidth="1"/>
    <col min="4627" max="4627" width="2.44140625" style="31" customWidth="1"/>
    <col min="4628" max="4630" width="0" style="31" hidden="1" customWidth="1"/>
    <col min="4631" max="4631" width="14.109375" style="31" customWidth="1"/>
    <col min="4632" max="4632" width="11.44140625" style="31" customWidth="1"/>
    <col min="4633" max="4633" width="34.44140625" style="31" customWidth="1"/>
    <col min="4634" max="4634" width="15.88671875" style="31" bestFit="1" customWidth="1"/>
    <col min="4635" max="4635" width="10.6640625" style="31" customWidth="1"/>
    <col min="4636" max="4636" width="15" style="31" bestFit="1" customWidth="1"/>
    <col min="4637" max="4637" width="14.44140625" style="31" bestFit="1" customWidth="1"/>
    <col min="4638" max="4638" width="23.44140625" style="31" bestFit="1" customWidth="1"/>
    <col min="4639" max="4639" width="31.33203125" style="31" bestFit="1" customWidth="1"/>
    <col min="4640" max="4860" width="9.109375" style="31"/>
    <col min="4861" max="4862" width="2.44140625" style="31" customWidth="1"/>
    <col min="4863" max="4863" width="32.109375" style="31" bestFit="1" customWidth="1"/>
    <col min="4864" max="4864" width="39.33203125" style="31" bestFit="1" customWidth="1"/>
    <col min="4865" max="4866" width="12.44140625" style="31" customWidth="1"/>
    <col min="4867" max="4867" width="13" style="31" customWidth="1"/>
    <col min="4868" max="4869" width="11.44140625" style="31" customWidth="1"/>
    <col min="4870" max="4871" width="12.109375" style="31" customWidth="1"/>
    <col min="4872" max="4874" width="12.44140625" style="31" customWidth="1"/>
    <col min="4875" max="4875" width="11.44140625" style="31" customWidth="1"/>
    <col min="4876" max="4876" width="13.109375" style="31" bestFit="1" customWidth="1"/>
    <col min="4877" max="4877" width="7.88671875" style="31" customWidth="1"/>
    <col min="4878" max="4881" width="5.6640625" style="31" customWidth="1"/>
    <col min="4882" max="4882" width="2.88671875" style="31" customWidth="1"/>
    <col min="4883" max="4883" width="2.44140625" style="31" customWidth="1"/>
    <col min="4884" max="4886" width="0" style="31" hidden="1" customWidth="1"/>
    <col min="4887" max="4887" width="14.109375" style="31" customWidth="1"/>
    <col min="4888" max="4888" width="11.44140625" style="31" customWidth="1"/>
    <col min="4889" max="4889" width="34.44140625" style="31" customWidth="1"/>
    <col min="4890" max="4890" width="15.88671875" style="31" bestFit="1" customWidth="1"/>
    <col min="4891" max="4891" width="10.6640625" style="31" customWidth="1"/>
    <col min="4892" max="4892" width="15" style="31" bestFit="1" customWidth="1"/>
    <col min="4893" max="4893" width="14.44140625" style="31" bestFit="1" customWidth="1"/>
    <col min="4894" max="4894" width="23.44140625" style="31" bestFit="1" customWidth="1"/>
    <col min="4895" max="4895" width="31.33203125" style="31" bestFit="1" customWidth="1"/>
    <col min="4896" max="5116" width="9.109375" style="31"/>
    <col min="5117" max="5118" width="2.44140625" style="31" customWidth="1"/>
    <col min="5119" max="5119" width="32.109375" style="31" bestFit="1" customWidth="1"/>
    <col min="5120" max="5120" width="39.33203125" style="31" bestFit="1" customWidth="1"/>
    <col min="5121" max="5122" width="12.44140625" style="31" customWidth="1"/>
    <col min="5123" max="5123" width="13" style="31" customWidth="1"/>
    <col min="5124" max="5125" width="11.44140625" style="31" customWidth="1"/>
    <col min="5126" max="5127" width="12.109375" style="31" customWidth="1"/>
    <col min="5128" max="5130" width="12.44140625" style="31" customWidth="1"/>
    <col min="5131" max="5131" width="11.44140625" style="31" customWidth="1"/>
    <col min="5132" max="5132" width="13.109375" style="31" bestFit="1" customWidth="1"/>
    <col min="5133" max="5133" width="7.88671875" style="31" customWidth="1"/>
    <col min="5134" max="5137" width="5.6640625" style="31" customWidth="1"/>
    <col min="5138" max="5138" width="2.88671875" style="31" customWidth="1"/>
    <col min="5139" max="5139" width="2.44140625" style="31" customWidth="1"/>
    <col min="5140" max="5142" width="0" style="31" hidden="1" customWidth="1"/>
    <col min="5143" max="5143" width="14.109375" style="31" customWidth="1"/>
    <col min="5144" max="5144" width="11.44140625" style="31" customWidth="1"/>
    <col min="5145" max="5145" width="34.44140625" style="31" customWidth="1"/>
    <col min="5146" max="5146" width="15.88671875" style="31" bestFit="1" customWidth="1"/>
    <col min="5147" max="5147" width="10.6640625" style="31" customWidth="1"/>
    <col min="5148" max="5148" width="15" style="31" bestFit="1" customWidth="1"/>
    <col min="5149" max="5149" width="14.44140625" style="31" bestFit="1" customWidth="1"/>
    <col min="5150" max="5150" width="23.44140625" style="31" bestFit="1" customWidth="1"/>
    <col min="5151" max="5151" width="31.33203125" style="31" bestFit="1" customWidth="1"/>
    <col min="5152" max="5372" width="9.109375" style="31"/>
    <col min="5373" max="5374" width="2.44140625" style="31" customWidth="1"/>
    <col min="5375" max="5375" width="32.109375" style="31" bestFit="1" customWidth="1"/>
    <col min="5376" max="5376" width="39.33203125" style="31" bestFit="1" customWidth="1"/>
    <col min="5377" max="5378" width="12.44140625" style="31" customWidth="1"/>
    <col min="5379" max="5379" width="13" style="31" customWidth="1"/>
    <col min="5380" max="5381" width="11.44140625" style="31" customWidth="1"/>
    <col min="5382" max="5383" width="12.109375" style="31" customWidth="1"/>
    <col min="5384" max="5386" width="12.44140625" style="31" customWidth="1"/>
    <col min="5387" max="5387" width="11.44140625" style="31" customWidth="1"/>
    <col min="5388" max="5388" width="13.109375" style="31" bestFit="1" customWidth="1"/>
    <col min="5389" max="5389" width="7.88671875" style="31" customWidth="1"/>
    <col min="5390" max="5393" width="5.6640625" style="31" customWidth="1"/>
    <col min="5394" max="5394" width="2.88671875" style="31" customWidth="1"/>
    <col min="5395" max="5395" width="2.44140625" style="31" customWidth="1"/>
    <col min="5396" max="5398" width="0" style="31" hidden="1" customWidth="1"/>
    <col min="5399" max="5399" width="14.109375" style="31" customWidth="1"/>
    <col min="5400" max="5400" width="11.44140625" style="31" customWidth="1"/>
    <col min="5401" max="5401" width="34.44140625" style="31" customWidth="1"/>
    <col min="5402" max="5402" width="15.88671875" style="31" bestFit="1" customWidth="1"/>
    <col min="5403" max="5403" width="10.6640625" style="31" customWidth="1"/>
    <col min="5404" max="5404" width="15" style="31" bestFit="1" customWidth="1"/>
    <col min="5405" max="5405" width="14.44140625" style="31" bestFit="1" customWidth="1"/>
    <col min="5406" max="5406" width="23.44140625" style="31" bestFit="1" customWidth="1"/>
    <col min="5407" max="5407" width="31.33203125" style="31" bestFit="1" customWidth="1"/>
    <col min="5408" max="5628" width="9.109375" style="31"/>
    <col min="5629" max="5630" width="2.44140625" style="31" customWidth="1"/>
    <col min="5631" max="5631" width="32.109375" style="31" bestFit="1" customWidth="1"/>
    <col min="5632" max="5632" width="39.33203125" style="31" bestFit="1" customWidth="1"/>
    <col min="5633" max="5634" width="12.44140625" style="31" customWidth="1"/>
    <col min="5635" max="5635" width="13" style="31" customWidth="1"/>
    <col min="5636" max="5637" width="11.44140625" style="31" customWidth="1"/>
    <col min="5638" max="5639" width="12.109375" style="31" customWidth="1"/>
    <col min="5640" max="5642" width="12.44140625" style="31" customWidth="1"/>
    <col min="5643" max="5643" width="11.44140625" style="31" customWidth="1"/>
    <col min="5644" max="5644" width="13.109375" style="31" bestFit="1" customWidth="1"/>
    <col min="5645" max="5645" width="7.88671875" style="31" customWidth="1"/>
    <col min="5646" max="5649" width="5.6640625" style="31" customWidth="1"/>
    <col min="5650" max="5650" width="2.88671875" style="31" customWidth="1"/>
    <col min="5651" max="5651" width="2.44140625" style="31" customWidth="1"/>
    <col min="5652" max="5654" width="0" style="31" hidden="1" customWidth="1"/>
    <col min="5655" max="5655" width="14.109375" style="31" customWidth="1"/>
    <col min="5656" max="5656" width="11.44140625" style="31" customWidth="1"/>
    <col min="5657" max="5657" width="34.44140625" style="31" customWidth="1"/>
    <col min="5658" max="5658" width="15.88671875" style="31" bestFit="1" customWidth="1"/>
    <col min="5659" max="5659" width="10.6640625" style="31" customWidth="1"/>
    <col min="5660" max="5660" width="15" style="31" bestFit="1" customWidth="1"/>
    <col min="5661" max="5661" width="14.44140625" style="31" bestFit="1" customWidth="1"/>
    <col min="5662" max="5662" width="23.44140625" style="31" bestFit="1" customWidth="1"/>
    <col min="5663" max="5663" width="31.33203125" style="31" bestFit="1" customWidth="1"/>
    <col min="5664" max="5884" width="9.109375" style="31"/>
    <col min="5885" max="5886" width="2.44140625" style="31" customWidth="1"/>
    <col min="5887" max="5887" width="32.109375" style="31" bestFit="1" customWidth="1"/>
    <col min="5888" max="5888" width="39.33203125" style="31" bestFit="1" customWidth="1"/>
    <col min="5889" max="5890" width="12.44140625" style="31" customWidth="1"/>
    <col min="5891" max="5891" width="13" style="31" customWidth="1"/>
    <col min="5892" max="5893" width="11.44140625" style="31" customWidth="1"/>
    <col min="5894" max="5895" width="12.109375" style="31" customWidth="1"/>
    <col min="5896" max="5898" width="12.44140625" style="31" customWidth="1"/>
    <col min="5899" max="5899" width="11.44140625" style="31" customWidth="1"/>
    <col min="5900" max="5900" width="13.109375" style="31" bestFit="1" customWidth="1"/>
    <col min="5901" max="5901" width="7.88671875" style="31" customWidth="1"/>
    <col min="5902" max="5905" width="5.6640625" style="31" customWidth="1"/>
    <col min="5906" max="5906" width="2.88671875" style="31" customWidth="1"/>
    <col min="5907" max="5907" width="2.44140625" style="31" customWidth="1"/>
    <col min="5908" max="5910" width="0" style="31" hidden="1" customWidth="1"/>
    <col min="5911" max="5911" width="14.109375" style="31" customWidth="1"/>
    <col min="5912" max="5912" width="11.44140625" style="31" customWidth="1"/>
    <col min="5913" max="5913" width="34.44140625" style="31" customWidth="1"/>
    <col min="5914" max="5914" width="15.88671875" style="31" bestFit="1" customWidth="1"/>
    <col min="5915" max="5915" width="10.6640625" style="31" customWidth="1"/>
    <col min="5916" max="5916" width="15" style="31" bestFit="1" customWidth="1"/>
    <col min="5917" max="5917" width="14.44140625" style="31" bestFit="1" customWidth="1"/>
    <col min="5918" max="5918" width="23.44140625" style="31" bestFit="1" customWidth="1"/>
    <col min="5919" max="5919" width="31.33203125" style="31" bestFit="1" customWidth="1"/>
    <col min="5920" max="6140" width="9.109375" style="31"/>
    <col min="6141" max="6142" width="2.44140625" style="31" customWidth="1"/>
    <col min="6143" max="6143" width="32.109375" style="31" bestFit="1" customWidth="1"/>
    <col min="6144" max="6144" width="39.33203125" style="31" bestFit="1" customWidth="1"/>
    <col min="6145" max="6146" width="12.44140625" style="31" customWidth="1"/>
    <col min="6147" max="6147" width="13" style="31" customWidth="1"/>
    <col min="6148" max="6149" width="11.44140625" style="31" customWidth="1"/>
    <col min="6150" max="6151" width="12.109375" style="31" customWidth="1"/>
    <col min="6152" max="6154" width="12.44140625" style="31" customWidth="1"/>
    <col min="6155" max="6155" width="11.44140625" style="31" customWidth="1"/>
    <col min="6156" max="6156" width="13.109375" style="31" bestFit="1" customWidth="1"/>
    <col min="6157" max="6157" width="7.88671875" style="31" customWidth="1"/>
    <col min="6158" max="6161" width="5.6640625" style="31" customWidth="1"/>
    <col min="6162" max="6162" width="2.88671875" style="31" customWidth="1"/>
    <col min="6163" max="6163" width="2.44140625" style="31" customWidth="1"/>
    <col min="6164" max="6166" width="0" style="31" hidden="1" customWidth="1"/>
    <col min="6167" max="6167" width="14.109375" style="31" customWidth="1"/>
    <col min="6168" max="6168" width="11.44140625" style="31" customWidth="1"/>
    <col min="6169" max="6169" width="34.44140625" style="31" customWidth="1"/>
    <col min="6170" max="6170" width="15.88671875" style="31" bestFit="1" customWidth="1"/>
    <col min="6171" max="6171" width="10.6640625" style="31" customWidth="1"/>
    <col min="6172" max="6172" width="15" style="31" bestFit="1" customWidth="1"/>
    <col min="6173" max="6173" width="14.44140625" style="31" bestFit="1" customWidth="1"/>
    <col min="6174" max="6174" width="23.44140625" style="31" bestFit="1" customWidth="1"/>
    <col min="6175" max="6175" width="31.33203125" style="31" bestFit="1" customWidth="1"/>
    <col min="6176" max="6396" width="9.109375" style="31"/>
    <col min="6397" max="6398" width="2.44140625" style="31" customWidth="1"/>
    <col min="6399" max="6399" width="32.109375" style="31" bestFit="1" customWidth="1"/>
    <col min="6400" max="6400" width="39.33203125" style="31" bestFit="1" customWidth="1"/>
    <col min="6401" max="6402" width="12.44140625" style="31" customWidth="1"/>
    <col min="6403" max="6403" width="13" style="31" customWidth="1"/>
    <col min="6404" max="6405" width="11.44140625" style="31" customWidth="1"/>
    <col min="6406" max="6407" width="12.109375" style="31" customWidth="1"/>
    <col min="6408" max="6410" width="12.44140625" style="31" customWidth="1"/>
    <col min="6411" max="6411" width="11.44140625" style="31" customWidth="1"/>
    <col min="6412" max="6412" width="13.109375" style="31" bestFit="1" customWidth="1"/>
    <col min="6413" max="6413" width="7.88671875" style="31" customWidth="1"/>
    <col min="6414" max="6417" width="5.6640625" style="31" customWidth="1"/>
    <col min="6418" max="6418" width="2.88671875" style="31" customWidth="1"/>
    <col min="6419" max="6419" width="2.44140625" style="31" customWidth="1"/>
    <col min="6420" max="6422" width="0" style="31" hidden="1" customWidth="1"/>
    <col min="6423" max="6423" width="14.109375" style="31" customWidth="1"/>
    <col min="6424" max="6424" width="11.44140625" style="31" customWidth="1"/>
    <col min="6425" max="6425" width="34.44140625" style="31" customWidth="1"/>
    <col min="6426" max="6426" width="15.88671875" style="31" bestFit="1" customWidth="1"/>
    <col min="6427" max="6427" width="10.6640625" style="31" customWidth="1"/>
    <col min="6428" max="6428" width="15" style="31" bestFit="1" customWidth="1"/>
    <col min="6429" max="6429" width="14.44140625" style="31" bestFit="1" customWidth="1"/>
    <col min="6430" max="6430" width="23.44140625" style="31" bestFit="1" customWidth="1"/>
    <col min="6431" max="6431" width="31.33203125" style="31" bestFit="1" customWidth="1"/>
    <col min="6432" max="6652" width="9.109375" style="31"/>
    <col min="6653" max="6654" width="2.44140625" style="31" customWidth="1"/>
    <col min="6655" max="6655" width="32.109375" style="31" bestFit="1" customWidth="1"/>
    <col min="6656" max="6656" width="39.33203125" style="31" bestFit="1" customWidth="1"/>
    <col min="6657" max="6658" width="12.44140625" style="31" customWidth="1"/>
    <col min="6659" max="6659" width="13" style="31" customWidth="1"/>
    <col min="6660" max="6661" width="11.44140625" style="31" customWidth="1"/>
    <col min="6662" max="6663" width="12.109375" style="31" customWidth="1"/>
    <col min="6664" max="6666" width="12.44140625" style="31" customWidth="1"/>
    <col min="6667" max="6667" width="11.44140625" style="31" customWidth="1"/>
    <col min="6668" max="6668" width="13.109375" style="31" bestFit="1" customWidth="1"/>
    <col min="6669" max="6669" width="7.88671875" style="31" customWidth="1"/>
    <col min="6670" max="6673" width="5.6640625" style="31" customWidth="1"/>
    <col min="6674" max="6674" width="2.88671875" style="31" customWidth="1"/>
    <col min="6675" max="6675" width="2.44140625" style="31" customWidth="1"/>
    <col min="6676" max="6678" width="0" style="31" hidden="1" customWidth="1"/>
    <col min="6679" max="6679" width="14.109375" style="31" customWidth="1"/>
    <col min="6680" max="6680" width="11.44140625" style="31" customWidth="1"/>
    <col min="6681" max="6681" width="34.44140625" style="31" customWidth="1"/>
    <col min="6682" max="6682" width="15.88671875" style="31" bestFit="1" customWidth="1"/>
    <col min="6683" max="6683" width="10.6640625" style="31" customWidth="1"/>
    <col min="6684" max="6684" width="15" style="31" bestFit="1" customWidth="1"/>
    <col min="6685" max="6685" width="14.44140625" style="31" bestFit="1" customWidth="1"/>
    <col min="6686" max="6686" width="23.44140625" style="31" bestFit="1" customWidth="1"/>
    <col min="6687" max="6687" width="31.33203125" style="31" bestFit="1" customWidth="1"/>
    <col min="6688" max="6908" width="9.109375" style="31"/>
    <col min="6909" max="6910" width="2.44140625" style="31" customWidth="1"/>
    <col min="6911" max="6911" width="32.109375" style="31" bestFit="1" customWidth="1"/>
    <col min="6912" max="6912" width="39.33203125" style="31" bestFit="1" customWidth="1"/>
    <col min="6913" max="6914" width="12.44140625" style="31" customWidth="1"/>
    <col min="6915" max="6915" width="13" style="31" customWidth="1"/>
    <col min="6916" max="6917" width="11.44140625" style="31" customWidth="1"/>
    <col min="6918" max="6919" width="12.109375" style="31" customWidth="1"/>
    <col min="6920" max="6922" width="12.44140625" style="31" customWidth="1"/>
    <col min="6923" max="6923" width="11.44140625" style="31" customWidth="1"/>
    <col min="6924" max="6924" width="13.109375" style="31" bestFit="1" customWidth="1"/>
    <col min="6925" max="6925" width="7.88671875" style="31" customWidth="1"/>
    <col min="6926" max="6929" width="5.6640625" style="31" customWidth="1"/>
    <col min="6930" max="6930" width="2.88671875" style="31" customWidth="1"/>
    <col min="6931" max="6931" width="2.44140625" style="31" customWidth="1"/>
    <col min="6932" max="6934" width="0" style="31" hidden="1" customWidth="1"/>
    <col min="6935" max="6935" width="14.109375" style="31" customWidth="1"/>
    <col min="6936" max="6936" width="11.44140625" style="31" customWidth="1"/>
    <col min="6937" max="6937" width="34.44140625" style="31" customWidth="1"/>
    <col min="6938" max="6938" width="15.88671875" style="31" bestFit="1" customWidth="1"/>
    <col min="6939" max="6939" width="10.6640625" style="31" customWidth="1"/>
    <col min="6940" max="6940" width="15" style="31" bestFit="1" customWidth="1"/>
    <col min="6941" max="6941" width="14.44140625" style="31" bestFit="1" customWidth="1"/>
    <col min="6942" max="6942" width="23.44140625" style="31" bestFit="1" customWidth="1"/>
    <col min="6943" max="6943" width="31.33203125" style="31" bestFit="1" customWidth="1"/>
    <col min="6944" max="7164" width="9.109375" style="31"/>
    <col min="7165" max="7166" width="2.44140625" style="31" customWidth="1"/>
    <col min="7167" max="7167" width="32.109375" style="31" bestFit="1" customWidth="1"/>
    <col min="7168" max="7168" width="39.33203125" style="31" bestFit="1" customWidth="1"/>
    <col min="7169" max="7170" width="12.44140625" style="31" customWidth="1"/>
    <col min="7171" max="7171" width="13" style="31" customWidth="1"/>
    <col min="7172" max="7173" width="11.44140625" style="31" customWidth="1"/>
    <col min="7174" max="7175" width="12.109375" style="31" customWidth="1"/>
    <col min="7176" max="7178" width="12.44140625" style="31" customWidth="1"/>
    <col min="7179" max="7179" width="11.44140625" style="31" customWidth="1"/>
    <col min="7180" max="7180" width="13.109375" style="31" bestFit="1" customWidth="1"/>
    <col min="7181" max="7181" width="7.88671875" style="31" customWidth="1"/>
    <col min="7182" max="7185" width="5.6640625" style="31" customWidth="1"/>
    <col min="7186" max="7186" width="2.88671875" style="31" customWidth="1"/>
    <col min="7187" max="7187" width="2.44140625" style="31" customWidth="1"/>
    <col min="7188" max="7190" width="0" style="31" hidden="1" customWidth="1"/>
    <col min="7191" max="7191" width="14.109375" style="31" customWidth="1"/>
    <col min="7192" max="7192" width="11.44140625" style="31" customWidth="1"/>
    <col min="7193" max="7193" width="34.44140625" style="31" customWidth="1"/>
    <col min="7194" max="7194" width="15.88671875" style="31" bestFit="1" customWidth="1"/>
    <col min="7195" max="7195" width="10.6640625" style="31" customWidth="1"/>
    <col min="7196" max="7196" width="15" style="31" bestFit="1" customWidth="1"/>
    <col min="7197" max="7197" width="14.44140625" style="31" bestFit="1" customWidth="1"/>
    <col min="7198" max="7198" width="23.44140625" style="31" bestFit="1" customWidth="1"/>
    <col min="7199" max="7199" width="31.33203125" style="31" bestFit="1" customWidth="1"/>
    <col min="7200" max="7420" width="9.109375" style="31"/>
    <col min="7421" max="7422" width="2.44140625" style="31" customWidth="1"/>
    <col min="7423" max="7423" width="32.109375" style="31" bestFit="1" customWidth="1"/>
    <col min="7424" max="7424" width="39.33203125" style="31" bestFit="1" customWidth="1"/>
    <col min="7425" max="7426" width="12.44140625" style="31" customWidth="1"/>
    <col min="7427" max="7427" width="13" style="31" customWidth="1"/>
    <col min="7428" max="7429" width="11.44140625" style="31" customWidth="1"/>
    <col min="7430" max="7431" width="12.109375" style="31" customWidth="1"/>
    <col min="7432" max="7434" width="12.44140625" style="31" customWidth="1"/>
    <col min="7435" max="7435" width="11.44140625" style="31" customWidth="1"/>
    <col min="7436" max="7436" width="13.109375" style="31" bestFit="1" customWidth="1"/>
    <col min="7437" max="7437" width="7.88671875" style="31" customWidth="1"/>
    <col min="7438" max="7441" width="5.6640625" style="31" customWidth="1"/>
    <col min="7442" max="7442" width="2.88671875" style="31" customWidth="1"/>
    <col min="7443" max="7443" width="2.44140625" style="31" customWidth="1"/>
    <col min="7444" max="7446" width="0" style="31" hidden="1" customWidth="1"/>
    <col min="7447" max="7447" width="14.109375" style="31" customWidth="1"/>
    <col min="7448" max="7448" width="11.44140625" style="31" customWidth="1"/>
    <col min="7449" max="7449" width="34.44140625" style="31" customWidth="1"/>
    <col min="7450" max="7450" width="15.88671875" style="31" bestFit="1" customWidth="1"/>
    <col min="7451" max="7451" width="10.6640625" style="31" customWidth="1"/>
    <col min="7452" max="7452" width="15" style="31" bestFit="1" customWidth="1"/>
    <col min="7453" max="7453" width="14.44140625" style="31" bestFit="1" customWidth="1"/>
    <col min="7454" max="7454" width="23.44140625" style="31" bestFit="1" customWidth="1"/>
    <col min="7455" max="7455" width="31.33203125" style="31" bestFit="1" customWidth="1"/>
    <col min="7456" max="7676" width="9.109375" style="31"/>
    <col min="7677" max="7678" width="2.44140625" style="31" customWidth="1"/>
    <col min="7679" max="7679" width="32.109375" style="31" bestFit="1" customWidth="1"/>
    <col min="7680" max="7680" width="39.33203125" style="31" bestFit="1" customWidth="1"/>
    <col min="7681" max="7682" width="12.44140625" style="31" customWidth="1"/>
    <col min="7683" max="7683" width="13" style="31" customWidth="1"/>
    <col min="7684" max="7685" width="11.44140625" style="31" customWidth="1"/>
    <col min="7686" max="7687" width="12.109375" style="31" customWidth="1"/>
    <col min="7688" max="7690" width="12.44140625" style="31" customWidth="1"/>
    <col min="7691" max="7691" width="11.44140625" style="31" customWidth="1"/>
    <col min="7692" max="7692" width="13.109375" style="31" bestFit="1" customWidth="1"/>
    <col min="7693" max="7693" width="7.88671875" style="31" customWidth="1"/>
    <col min="7694" max="7697" width="5.6640625" style="31" customWidth="1"/>
    <col min="7698" max="7698" width="2.88671875" style="31" customWidth="1"/>
    <col min="7699" max="7699" width="2.44140625" style="31" customWidth="1"/>
    <col min="7700" max="7702" width="0" style="31" hidden="1" customWidth="1"/>
    <col min="7703" max="7703" width="14.109375" style="31" customWidth="1"/>
    <col min="7704" max="7704" width="11.44140625" style="31" customWidth="1"/>
    <col min="7705" max="7705" width="34.44140625" style="31" customWidth="1"/>
    <col min="7706" max="7706" width="15.88671875" style="31" bestFit="1" customWidth="1"/>
    <col min="7707" max="7707" width="10.6640625" style="31" customWidth="1"/>
    <col min="7708" max="7708" width="15" style="31" bestFit="1" customWidth="1"/>
    <col min="7709" max="7709" width="14.44140625" style="31" bestFit="1" customWidth="1"/>
    <col min="7710" max="7710" width="23.44140625" style="31" bestFit="1" customWidth="1"/>
    <col min="7711" max="7711" width="31.33203125" style="31" bestFit="1" customWidth="1"/>
    <col min="7712" max="7932" width="9.109375" style="31"/>
    <col min="7933" max="7934" width="2.44140625" style="31" customWidth="1"/>
    <col min="7935" max="7935" width="32.109375" style="31" bestFit="1" customWidth="1"/>
    <col min="7936" max="7936" width="39.33203125" style="31" bestFit="1" customWidth="1"/>
    <col min="7937" max="7938" width="12.44140625" style="31" customWidth="1"/>
    <col min="7939" max="7939" width="13" style="31" customWidth="1"/>
    <col min="7940" max="7941" width="11.44140625" style="31" customWidth="1"/>
    <col min="7942" max="7943" width="12.109375" style="31" customWidth="1"/>
    <col min="7944" max="7946" width="12.44140625" style="31" customWidth="1"/>
    <col min="7947" max="7947" width="11.44140625" style="31" customWidth="1"/>
    <col min="7948" max="7948" width="13.109375" style="31" bestFit="1" customWidth="1"/>
    <col min="7949" max="7949" width="7.88671875" style="31" customWidth="1"/>
    <col min="7950" max="7953" width="5.6640625" style="31" customWidth="1"/>
    <col min="7954" max="7954" width="2.88671875" style="31" customWidth="1"/>
    <col min="7955" max="7955" width="2.44140625" style="31" customWidth="1"/>
    <col min="7956" max="7958" width="0" style="31" hidden="1" customWidth="1"/>
    <col min="7959" max="7959" width="14.109375" style="31" customWidth="1"/>
    <col min="7960" max="7960" width="11.44140625" style="31" customWidth="1"/>
    <col min="7961" max="7961" width="34.44140625" style="31" customWidth="1"/>
    <col min="7962" max="7962" width="15.88671875" style="31" bestFit="1" customWidth="1"/>
    <col min="7963" max="7963" width="10.6640625" style="31" customWidth="1"/>
    <col min="7964" max="7964" width="15" style="31" bestFit="1" customWidth="1"/>
    <col min="7965" max="7965" width="14.44140625" style="31" bestFit="1" customWidth="1"/>
    <col min="7966" max="7966" width="23.44140625" style="31" bestFit="1" customWidth="1"/>
    <col min="7967" max="7967" width="31.33203125" style="31" bestFit="1" customWidth="1"/>
    <col min="7968" max="8188" width="9.109375" style="31"/>
    <col min="8189" max="8190" width="2.44140625" style="31" customWidth="1"/>
    <col min="8191" max="8191" width="32.109375" style="31" bestFit="1" customWidth="1"/>
    <col min="8192" max="8192" width="39.33203125" style="31" bestFit="1" customWidth="1"/>
    <col min="8193" max="8194" width="12.44140625" style="31" customWidth="1"/>
    <col min="8195" max="8195" width="13" style="31" customWidth="1"/>
    <col min="8196" max="8197" width="11.44140625" style="31" customWidth="1"/>
    <col min="8198" max="8199" width="12.109375" style="31" customWidth="1"/>
    <col min="8200" max="8202" width="12.44140625" style="31" customWidth="1"/>
    <col min="8203" max="8203" width="11.44140625" style="31" customWidth="1"/>
    <col min="8204" max="8204" width="13.109375" style="31" bestFit="1" customWidth="1"/>
    <col min="8205" max="8205" width="7.88671875" style="31" customWidth="1"/>
    <col min="8206" max="8209" width="5.6640625" style="31" customWidth="1"/>
    <col min="8210" max="8210" width="2.88671875" style="31" customWidth="1"/>
    <col min="8211" max="8211" width="2.44140625" style="31" customWidth="1"/>
    <col min="8212" max="8214" width="0" style="31" hidden="1" customWidth="1"/>
    <col min="8215" max="8215" width="14.109375" style="31" customWidth="1"/>
    <col min="8216" max="8216" width="11.44140625" style="31" customWidth="1"/>
    <col min="8217" max="8217" width="34.44140625" style="31" customWidth="1"/>
    <col min="8218" max="8218" width="15.88671875" style="31" bestFit="1" customWidth="1"/>
    <col min="8219" max="8219" width="10.6640625" style="31" customWidth="1"/>
    <col min="8220" max="8220" width="15" style="31" bestFit="1" customWidth="1"/>
    <col min="8221" max="8221" width="14.44140625" style="31" bestFit="1" customWidth="1"/>
    <col min="8222" max="8222" width="23.44140625" style="31" bestFit="1" customWidth="1"/>
    <col min="8223" max="8223" width="31.33203125" style="31" bestFit="1" customWidth="1"/>
    <col min="8224" max="8444" width="9.109375" style="31"/>
    <col min="8445" max="8446" width="2.44140625" style="31" customWidth="1"/>
    <col min="8447" max="8447" width="32.109375" style="31" bestFit="1" customWidth="1"/>
    <col min="8448" max="8448" width="39.33203125" style="31" bestFit="1" customWidth="1"/>
    <col min="8449" max="8450" width="12.44140625" style="31" customWidth="1"/>
    <col min="8451" max="8451" width="13" style="31" customWidth="1"/>
    <col min="8452" max="8453" width="11.44140625" style="31" customWidth="1"/>
    <col min="8454" max="8455" width="12.109375" style="31" customWidth="1"/>
    <col min="8456" max="8458" width="12.44140625" style="31" customWidth="1"/>
    <col min="8459" max="8459" width="11.44140625" style="31" customWidth="1"/>
    <col min="8460" max="8460" width="13.109375" style="31" bestFit="1" customWidth="1"/>
    <col min="8461" max="8461" width="7.88671875" style="31" customWidth="1"/>
    <col min="8462" max="8465" width="5.6640625" style="31" customWidth="1"/>
    <col min="8466" max="8466" width="2.88671875" style="31" customWidth="1"/>
    <col min="8467" max="8467" width="2.44140625" style="31" customWidth="1"/>
    <col min="8468" max="8470" width="0" style="31" hidden="1" customWidth="1"/>
    <col min="8471" max="8471" width="14.109375" style="31" customWidth="1"/>
    <col min="8472" max="8472" width="11.44140625" style="31" customWidth="1"/>
    <col min="8473" max="8473" width="34.44140625" style="31" customWidth="1"/>
    <col min="8474" max="8474" width="15.88671875" style="31" bestFit="1" customWidth="1"/>
    <col min="8475" max="8475" width="10.6640625" style="31" customWidth="1"/>
    <col min="8476" max="8476" width="15" style="31" bestFit="1" customWidth="1"/>
    <col min="8477" max="8477" width="14.44140625" style="31" bestFit="1" customWidth="1"/>
    <col min="8478" max="8478" width="23.44140625" style="31" bestFit="1" customWidth="1"/>
    <col min="8479" max="8479" width="31.33203125" style="31" bestFit="1" customWidth="1"/>
    <col min="8480" max="8700" width="9.109375" style="31"/>
    <col min="8701" max="8702" width="2.44140625" style="31" customWidth="1"/>
    <col min="8703" max="8703" width="32.109375" style="31" bestFit="1" customWidth="1"/>
    <col min="8704" max="8704" width="39.33203125" style="31" bestFit="1" customWidth="1"/>
    <col min="8705" max="8706" width="12.44140625" style="31" customWidth="1"/>
    <col min="8707" max="8707" width="13" style="31" customWidth="1"/>
    <col min="8708" max="8709" width="11.44140625" style="31" customWidth="1"/>
    <col min="8710" max="8711" width="12.109375" style="31" customWidth="1"/>
    <col min="8712" max="8714" width="12.44140625" style="31" customWidth="1"/>
    <col min="8715" max="8715" width="11.44140625" style="31" customWidth="1"/>
    <col min="8716" max="8716" width="13.109375" style="31" bestFit="1" customWidth="1"/>
    <col min="8717" max="8717" width="7.88671875" style="31" customWidth="1"/>
    <col min="8718" max="8721" width="5.6640625" style="31" customWidth="1"/>
    <col min="8722" max="8722" width="2.88671875" style="31" customWidth="1"/>
    <col min="8723" max="8723" width="2.44140625" style="31" customWidth="1"/>
    <col min="8724" max="8726" width="0" style="31" hidden="1" customWidth="1"/>
    <col min="8727" max="8727" width="14.109375" style="31" customWidth="1"/>
    <col min="8728" max="8728" width="11.44140625" style="31" customWidth="1"/>
    <col min="8729" max="8729" width="34.44140625" style="31" customWidth="1"/>
    <col min="8730" max="8730" width="15.88671875" style="31" bestFit="1" customWidth="1"/>
    <col min="8731" max="8731" width="10.6640625" style="31" customWidth="1"/>
    <col min="8732" max="8732" width="15" style="31" bestFit="1" customWidth="1"/>
    <col min="8733" max="8733" width="14.44140625" style="31" bestFit="1" customWidth="1"/>
    <col min="8734" max="8734" width="23.44140625" style="31" bestFit="1" customWidth="1"/>
    <col min="8735" max="8735" width="31.33203125" style="31" bestFit="1" customWidth="1"/>
    <col min="8736" max="8956" width="9.109375" style="31"/>
    <col min="8957" max="8958" width="2.44140625" style="31" customWidth="1"/>
    <col min="8959" max="8959" width="32.109375" style="31" bestFit="1" customWidth="1"/>
    <col min="8960" max="8960" width="39.33203125" style="31" bestFit="1" customWidth="1"/>
    <col min="8961" max="8962" width="12.44140625" style="31" customWidth="1"/>
    <col min="8963" max="8963" width="13" style="31" customWidth="1"/>
    <col min="8964" max="8965" width="11.44140625" style="31" customWidth="1"/>
    <col min="8966" max="8967" width="12.109375" style="31" customWidth="1"/>
    <col min="8968" max="8970" width="12.44140625" style="31" customWidth="1"/>
    <col min="8971" max="8971" width="11.44140625" style="31" customWidth="1"/>
    <col min="8972" max="8972" width="13.109375" style="31" bestFit="1" customWidth="1"/>
    <col min="8973" max="8973" width="7.88671875" style="31" customWidth="1"/>
    <col min="8974" max="8977" width="5.6640625" style="31" customWidth="1"/>
    <col min="8978" max="8978" width="2.88671875" style="31" customWidth="1"/>
    <col min="8979" max="8979" width="2.44140625" style="31" customWidth="1"/>
    <col min="8980" max="8982" width="0" style="31" hidden="1" customWidth="1"/>
    <col min="8983" max="8983" width="14.109375" style="31" customWidth="1"/>
    <col min="8984" max="8984" width="11.44140625" style="31" customWidth="1"/>
    <col min="8985" max="8985" width="34.44140625" style="31" customWidth="1"/>
    <col min="8986" max="8986" width="15.88671875" style="31" bestFit="1" customWidth="1"/>
    <col min="8987" max="8987" width="10.6640625" style="31" customWidth="1"/>
    <col min="8988" max="8988" width="15" style="31" bestFit="1" customWidth="1"/>
    <col min="8989" max="8989" width="14.44140625" style="31" bestFit="1" customWidth="1"/>
    <col min="8990" max="8990" width="23.44140625" style="31" bestFit="1" customWidth="1"/>
    <col min="8991" max="8991" width="31.33203125" style="31" bestFit="1" customWidth="1"/>
    <col min="8992" max="9212" width="9.109375" style="31"/>
    <col min="9213" max="9214" width="2.44140625" style="31" customWidth="1"/>
    <col min="9215" max="9215" width="32.109375" style="31" bestFit="1" customWidth="1"/>
    <col min="9216" max="9216" width="39.33203125" style="31" bestFit="1" customWidth="1"/>
    <col min="9217" max="9218" width="12.44140625" style="31" customWidth="1"/>
    <col min="9219" max="9219" width="13" style="31" customWidth="1"/>
    <col min="9220" max="9221" width="11.44140625" style="31" customWidth="1"/>
    <col min="9222" max="9223" width="12.109375" style="31" customWidth="1"/>
    <col min="9224" max="9226" width="12.44140625" style="31" customWidth="1"/>
    <col min="9227" max="9227" width="11.44140625" style="31" customWidth="1"/>
    <col min="9228" max="9228" width="13.109375" style="31" bestFit="1" customWidth="1"/>
    <col min="9229" max="9229" width="7.88671875" style="31" customWidth="1"/>
    <col min="9230" max="9233" width="5.6640625" style="31" customWidth="1"/>
    <col min="9234" max="9234" width="2.88671875" style="31" customWidth="1"/>
    <col min="9235" max="9235" width="2.44140625" style="31" customWidth="1"/>
    <col min="9236" max="9238" width="0" style="31" hidden="1" customWidth="1"/>
    <col min="9239" max="9239" width="14.109375" style="31" customWidth="1"/>
    <col min="9240" max="9240" width="11.44140625" style="31" customWidth="1"/>
    <col min="9241" max="9241" width="34.44140625" style="31" customWidth="1"/>
    <col min="9242" max="9242" width="15.88671875" style="31" bestFit="1" customWidth="1"/>
    <col min="9243" max="9243" width="10.6640625" style="31" customWidth="1"/>
    <col min="9244" max="9244" width="15" style="31" bestFit="1" customWidth="1"/>
    <col min="9245" max="9245" width="14.44140625" style="31" bestFit="1" customWidth="1"/>
    <col min="9246" max="9246" width="23.44140625" style="31" bestFit="1" customWidth="1"/>
    <col min="9247" max="9247" width="31.33203125" style="31" bestFit="1" customWidth="1"/>
    <col min="9248" max="9468" width="9.109375" style="31"/>
    <col min="9469" max="9470" width="2.44140625" style="31" customWidth="1"/>
    <col min="9471" max="9471" width="32.109375" style="31" bestFit="1" customWidth="1"/>
    <col min="9472" max="9472" width="39.33203125" style="31" bestFit="1" customWidth="1"/>
    <col min="9473" max="9474" width="12.44140625" style="31" customWidth="1"/>
    <col min="9475" max="9475" width="13" style="31" customWidth="1"/>
    <col min="9476" max="9477" width="11.44140625" style="31" customWidth="1"/>
    <col min="9478" max="9479" width="12.109375" style="31" customWidth="1"/>
    <col min="9480" max="9482" width="12.44140625" style="31" customWidth="1"/>
    <col min="9483" max="9483" width="11.44140625" style="31" customWidth="1"/>
    <col min="9484" max="9484" width="13.109375" style="31" bestFit="1" customWidth="1"/>
    <col min="9485" max="9485" width="7.88671875" style="31" customWidth="1"/>
    <col min="9486" max="9489" width="5.6640625" style="31" customWidth="1"/>
    <col min="9490" max="9490" width="2.88671875" style="31" customWidth="1"/>
    <col min="9491" max="9491" width="2.44140625" style="31" customWidth="1"/>
    <col min="9492" max="9494" width="0" style="31" hidden="1" customWidth="1"/>
    <col min="9495" max="9495" width="14.109375" style="31" customWidth="1"/>
    <col min="9496" max="9496" width="11.44140625" style="31" customWidth="1"/>
    <col min="9497" max="9497" width="34.44140625" style="31" customWidth="1"/>
    <col min="9498" max="9498" width="15.88671875" style="31" bestFit="1" customWidth="1"/>
    <col min="9499" max="9499" width="10.6640625" style="31" customWidth="1"/>
    <col min="9500" max="9500" width="15" style="31" bestFit="1" customWidth="1"/>
    <col min="9501" max="9501" width="14.44140625" style="31" bestFit="1" customWidth="1"/>
    <col min="9502" max="9502" width="23.44140625" style="31" bestFit="1" customWidth="1"/>
    <col min="9503" max="9503" width="31.33203125" style="31" bestFit="1" customWidth="1"/>
    <col min="9504" max="9724" width="9.109375" style="31"/>
    <col min="9725" max="9726" width="2.44140625" style="31" customWidth="1"/>
    <col min="9727" max="9727" width="32.109375" style="31" bestFit="1" customWidth="1"/>
    <col min="9728" max="9728" width="39.33203125" style="31" bestFit="1" customWidth="1"/>
    <col min="9729" max="9730" width="12.44140625" style="31" customWidth="1"/>
    <col min="9731" max="9731" width="13" style="31" customWidth="1"/>
    <col min="9732" max="9733" width="11.44140625" style="31" customWidth="1"/>
    <col min="9734" max="9735" width="12.109375" style="31" customWidth="1"/>
    <col min="9736" max="9738" width="12.44140625" style="31" customWidth="1"/>
    <col min="9739" max="9739" width="11.44140625" style="31" customWidth="1"/>
    <col min="9740" max="9740" width="13.109375" style="31" bestFit="1" customWidth="1"/>
    <col min="9741" max="9741" width="7.88671875" style="31" customWidth="1"/>
    <col min="9742" max="9745" width="5.6640625" style="31" customWidth="1"/>
    <col min="9746" max="9746" width="2.88671875" style="31" customWidth="1"/>
    <col min="9747" max="9747" width="2.44140625" style="31" customWidth="1"/>
    <col min="9748" max="9750" width="0" style="31" hidden="1" customWidth="1"/>
    <col min="9751" max="9751" width="14.109375" style="31" customWidth="1"/>
    <col min="9752" max="9752" width="11.44140625" style="31" customWidth="1"/>
    <col min="9753" max="9753" width="34.44140625" style="31" customWidth="1"/>
    <col min="9754" max="9754" width="15.88671875" style="31" bestFit="1" customWidth="1"/>
    <col min="9755" max="9755" width="10.6640625" style="31" customWidth="1"/>
    <col min="9756" max="9756" width="15" style="31" bestFit="1" customWidth="1"/>
    <col min="9757" max="9757" width="14.44140625" style="31" bestFit="1" customWidth="1"/>
    <col min="9758" max="9758" width="23.44140625" style="31" bestFit="1" customWidth="1"/>
    <col min="9759" max="9759" width="31.33203125" style="31" bestFit="1" customWidth="1"/>
    <col min="9760" max="9980" width="9.109375" style="31"/>
    <col min="9981" max="9982" width="2.44140625" style="31" customWidth="1"/>
    <col min="9983" max="9983" width="32.109375" style="31" bestFit="1" customWidth="1"/>
    <col min="9984" max="9984" width="39.33203125" style="31" bestFit="1" customWidth="1"/>
    <col min="9985" max="9986" width="12.44140625" style="31" customWidth="1"/>
    <col min="9987" max="9987" width="13" style="31" customWidth="1"/>
    <col min="9988" max="9989" width="11.44140625" style="31" customWidth="1"/>
    <col min="9990" max="9991" width="12.109375" style="31" customWidth="1"/>
    <col min="9992" max="9994" width="12.44140625" style="31" customWidth="1"/>
    <col min="9995" max="9995" width="11.44140625" style="31" customWidth="1"/>
    <col min="9996" max="9996" width="13.109375" style="31" bestFit="1" customWidth="1"/>
    <col min="9997" max="9997" width="7.88671875" style="31" customWidth="1"/>
    <col min="9998" max="10001" width="5.6640625" style="31" customWidth="1"/>
    <col min="10002" max="10002" width="2.88671875" style="31" customWidth="1"/>
    <col min="10003" max="10003" width="2.44140625" style="31" customWidth="1"/>
    <col min="10004" max="10006" width="0" style="31" hidden="1" customWidth="1"/>
    <col min="10007" max="10007" width="14.109375" style="31" customWidth="1"/>
    <col min="10008" max="10008" width="11.44140625" style="31" customWidth="1"/>
    <col min="10009" max="10009" width="34.44140625" style="31" customWidth="1"/>
    <col min="10010" max="10010" width="15.88671875" style="31" bestFit="1" customWidth="1"/>
    <col min="10011" max="10011" width="10.6640625" style="31" customWidth="1"/>
    <col min="10012" max="10012" width="15" style="31" bestFit="1" customWidth="1"/>
    <col min="10013" max="10013" width="14.44140625" style="31" bestFit="1" customWidth="1"/>
    <col min="10014" max="10014" width="23.44140625" style="31" bestFit="1" customWidth="1"/>
    <col min="10015" max="10015" width="31.33203125" style="31" bestFit="1" customWidth="1"/>
    <col min="10016" max="10236" width="9.109375" style="31"/>
    <col min="10237" max="10238" width="2.44140625" style="31" customWidth="1"/>
    <col min="10239" max="10239" width="32.109375" style="31" bestFit="1" customWidth="1"/>
    <col min="10240" max="10240" width="39.33203125" style="31" bestFit="1" customWidth="1"/>
    <col min="10241" max="10242" width="12.44140625" style="31" customWidth="1"/>
    <col min="10243" max="10243" width="13" style="31" customWidth="1"/>
    <col min="10244" max="10245" width="11.44140625" style="31" customWidth="1"/>
    <col min="10246" max="10247" width="12.109375" style="31" customWidth="1"/>
    <col min="10248" max="10250" width="12.44140625" style="31" customWidth="1"/>
    <col min="10251" max="10251" width="11.44140625" style="31" customWidth="1"/>
    <col min="10252" max="10252" width="13.109375" style="31" bestFit="1" customWidth="1"/>
    <col min="10253" max="10253" width="7.88671875" style="31" customWidth="1"/>
    <col min="10254" max="10257" width="5.6640625" style="31" customWidth="1"/>
    <col min="10258" max="10258" width="2.88671875" style="31" customWidth="1"/>
    <col min="10259" max="10259" width="2.44140625" style="31" customWidth="1"/>
    <col min="10260" max="10262" width="0" style="31" hidden="1" customWidth="1"/>
    <col min="10263" max="10263" width="14.109375" style="31" customWidth="1"/>
    <col min="10264" max="10264" width="11.44140625" style="31" customWidth="1"/>
    <col min="10265" max="10265" width="34.44140625" style="31" customWidth="1"/>
    <col min="10266" max="10266" width="15.88671875" style="31" bestFit="1" customWidth="1"/>
    <col min="10267" max="10267" width="10.6640625" style="31" customWidth="1"/>
    <col min="10268" max="10268" width="15" style="31" bestFit="1" customWidth="1"/>
    <col min="10269" max="10269" width="14.44140625" style="31" bestFit="1" customWidth="1"/>
    <col min="10270" max="10270" width="23.44140625" style="31" bestFit="1" customWidth="1"/>
    <col min="10271" max="10271" width="31.33203125" style="31" bestFit="1" customWidth="1"/>
    <col min="10272" max="10492" width="9.109375" style="31"/>
    <col min="10493" max="10494" width="2.44140625" style="31" customWidth="1"/>
    <col min="10495" max="10495" width="32.109375" style="31" bestFit="1" customWidth="1"/>
    <col min="10496" max="10496" width="39.33203125" style="31" bestFit="1" customWidth="1"/>
    <col min="10497" max="10498" width="12.44140625" style="31" customWidth="1"/>
    <col min="10499" max="10499" width="13" style="31" customWidth="1"/>
    <col min="10500" max="10501" width="11.44140625" style="31" customWidth="1"/>
    <col min="10502" max="10503" width="12.109375" style="31" customWidth="1"/>
    <col min="10504" max="10506" width="12.44140625" style="31" customWidth="1"/>
    <col min="10507" max="10507" width="11.44140625" style="31" customWidth="1"/>
    <col min="10508" max="10508" width="13.109375" style="31" bestFit="1" customWidth="1"/>
    <col min="10509" max="10509" width="7.88671875" style="31" customWidth="1"/>
    <col min="10510" max="10513" width="5.6640625" style="31" customWidth="1"/>
    <col min="10514" max="10514" width="2.88671875" style="31" customWidth="1"/>
    <col min="10515" max="10515" width="2.44140625" style="31" customWidth="1"/>
    <col min="10516" max="10518" width="0" style="31" hidden="1" customWidth="1"/>
    <col min="10519" max="10519" width="14.109375" style="31" customWidth="1"/>
    <col min="10520" max="10520" width="11.44140625" style="31" customWidth="1"/>
    <col min="10521" max="10521" width="34.44140625" style="31" customWidth="1"/>
    <col min="10522" max="10522" width="15.88671875" style="31" bestFit="1" customWidth="1"/>
    <col min="10523" max="10523" width="10.6640625" style="31" customWidth="1"/>
    <col min="10524" max="10524" width="15" style="31" bestFit="1" customWidth="1"/>
    <col min="10525" max="10525" width="14.44140625" style="31" bestFit="1" customWidth="1"/>
    <col min="10526" max="10526" width="23.44140625" style="31" bestFit="1" customWidth="1"/>
    <col min="10527" max="10527" width="31.33203125" style="31" bestFit="1" customWidth="1"/>
    <col min="10528" max="10748" width="9.109375" style="31"/>
    <col min="10749" max="10750" width="2.44140625" style="31" customWidth="1"/>
    <col min="10751" max="10751" width="32.109375" style="31" bestFit="1" customWidth="1"/>
    <col min="10752" max="10752" width="39.33203125" style="31" bestFit="1" customWidth="1"/>
    <col min="10753" max="10754" width="12.44140625" style="31" customWidth="1"/>
    <col min="10755" max="10755" width="13" style="31" customWidth="1"/>
    <col min="10756" max="10757" width="11.44140625" style="31" customWidth="1"/>
    <col min="10758" max="10759" width="12.109375" style="31" customWidth="1"/>
    <col min="10760" max="10762" width="12.44140625" style="31" customWidth="1"/>
    <col min="10763" max="10763" width="11.44140625" style="31" customWidth="1"/>
    <col min="10764" max="10764" width="13.109375" style="31" bestFit="1" customWidth="1"/>
    <col min="10765" max="10765" width="7.88671875" style="31" customWidth="1"/>
    <col min="10766" max="10769" width="5.6640625" style="31" customWidth="1"/>
    <col min="10770" max="10770" width="2.88671875" style="31" customWidth="1"/>
    <col min="10771" max="10771" width="2.44140625" style="31" customWidth="1"/>
    <col min="10772" max="10774" width="0" style="31" hidden="1" customWidth="1"/>
    <col min="10775" max="10775" width="14.109375" style="31" customWidth="1"/>
    <col min="10776" max="10776" width="11.44140625" style="31" customWidth="1"/>
    <col min="10777" max="10777" width="34.44140625" style="31" customWidth="1"/>
    <col min="10778" max="10778" width="15.88671875" style="31" bestFit="1" customWidth="1"/>
    <col min="10779" max="10779" width="10.6640625" style="31" customWidth="1"/>
    <col min="10780" max="10780" width="15" style="31" bestFit="1" customWidth="1"/>
    <col min="10781" max="10781" width="14.44140625" style="31" bestFit="1" customWidth="1"/>
    <col min="10782" max="10782" width="23.44140625" style="31" bestFit="1" customWidth="1"/>
    <col min="10783" max="10783" width="31.33203125" style="31" bestFit="1" customWidth="1"/>
    <col min="10784" max="11004" width="9.109375" style="31"/>
    <col min="11005" max="11006" width="2.44140625" style="31" customWidth="1"/>
    <col min="11007" max="11007" width="32.109375" style="31" bestFit="1" customWidth="1"/>
    <col min="11008" max="11008" width="39.33203125" style="31" bestFit="1" customWidth="1"/>
    <col min="11009" max="11010" width="12.44140625" style="31" customWidth="1"/>
    <col min="11011" max="11011" width="13" style="31" customWidth="1"/>
    <col min="11012" max="11013" width="11.44140625" style="31" customWidth="1"/>
    <col min="11014" max="11015" width="12.109375" style="31" customWidth="1"/>
    <col min="11016" max="11018" width="12.44140625" style="31" customWidth="1"/>
    <col min="11019" max="11019" width="11.44140625" style="31" customWidth="1"/>
    <col min="11020" max="11020" width="13.109375" style="31" bestFit="1" customWidth="1"/>
    <col min="11021" max="11021" width="7.88671875" style="31" customWidth="1"/>
    <col min="11022" max="11025" width="5.6640625" style="31" customWidth="1"/>
    <col min="11026" max="11026" width="2.88671875" style="31" customWidth="1"/>
    <col min="11027" max="11027" width="2.44140625" style="31" customWidth="1"/>
    <col min="11028" max="11030" width="0" style="31" hidden="1" customWidth="1"/>
    <col min="11031" max="11031" width="14.109375" style="31" customWidth="1"/>
    <col min="11032" max="11032" width="11.44140625" style="31" customWidth="1"/>
    <col min="11033" max="11033" width="34.44140625" style="31" customWidth="1"/>
    <col min="11034" max="11034" width="15.88671875" style="31" bestFit="1" customWidth="1"/>
    <col min="11035" max="11035" width="10.6640625" style="31" customWidth="1"/>
    <col min="11036" max="11036" width="15" style="31" bestFit="1" customWidth="1"/>
    <col min="11037" max="11037" width="14.44140625" style="31" bestFit="1" customWidth="1"/>
    <col min="11038" max="11038" width="23.44140625" style="31" bestFit="1" customWidth="1"/>
    <col min="11039" max="11039" width="31.33203125" style="31" bestFit="1" customWidth="1"/>
    <col min="11040" max="11260" width="9.109375" style="31"/>
    <col min="11261" max="11262" width="2.44140625" style="31" customWidth="1"/>
    <col min="11263" max="11263" width="32.109375" style="31" bestFit="1" customWidth="1"/>
    <col min="11264" max="11264" width="39.33203125" style="31" bestFit="1" customWidth="1"/>
    <col min="11265" max="11266" width="12.44140625" style="31" customWidth="1"/>
    <col min="11267" max="11267" width="13" style="31" customWidth="1"/>
    <col min="11268" max="11269" width="11.44140625" style="31" customWidth="1"/>
    <col min="11270" max="11271" width="12.109375" style="31" customWidth="1"/>
    <col min="11272" max="11274" width="12.44140625" style="31" customWidth="1"/>
    <col min="11275" max="11275" width="11.44140625" style="31" customWidth="1"/>
    <col min="11276" max="11276" width="13.109375" style="31" bestFit="1" customWidth="1"/>
    <col min="11277" max="11277" width="7.88671875" style="31" customWidth="1"/>
    <col min="11278" max="11281" width="5.6640625" style="31" customWidth="1"/>
    <col min="11282" max="11282" width="2.88671875" style="31" customWidth="1"/>
    <col min="11283" max="11283" width="2.44140625" style="31" customWidth="1"/>
    <col min="11284" max="11286" width="0" style="31" hidden="1" customWidth="1"/>
    <col min="11287" max="11287" width="14.109375" style="31" customWidth="1"/>
    <col min="11288" max="11288" width="11.44140625" style="31" customWidth="1"/>
    <col min="11289" max="11289" width="34.44140625" style="31" customWidth="1"/>
    <col min="11290" max="11290" width="15.88671875" style="31" bestFit="1" customWidth="1"/>
    <col min="11291" max="11291" width="10.6640625" style="31" customWidth="1"/>
    <col min="11292" max="11292" width="15" style="31" bestFit="1" customWidth="1"/>
    <col min="11293" max="11293" width="14.44140625" style="31" bestFit="1" customWidth="1"/>
    <col min="11294" max="11294" width="23.44140625" style="31" bestFit="1" customWidth="1"/>
    <col min="11295" max="11295" width="31.33203125" style="31" bestFit="1" customWidth="1"/>
    <col min="11296" max="11516" width="9.109375" style="31"/>
    <col min="11517" max="11518" width="2.44140625" style="31" customWidth="1"/>
    <col min="11519" max="11519" width="32.109375" style="31" bestFit="1" customWidth="1"/>
    <col min="11520" max="11520" width="39.33203125" style="31" bestFit="1" customWidth="1"/>
    <col min="11521" max="11522" width="12.44140625" style="31" customWidth="1"/>
    <col min="11523" max="11523" width="13" style="31" customWidth="1"/>
    <col min="11524" max="11525" width="11.44140625" style="31" customWidth="1"/>
    <col min="11526" max="11527" width="12.109375" style="31" customWidth="1"/>
    <col min="11528" max="11530" width="12.44140625" style="31" customWidth="1"/>
    <col min="11531" max="11531" width="11.44140625" style="31" customWidth="1"/>
    <col min="11532" max="11532" width="13.109375" style="31" bestFit="1" customWidth="1"/>
    <col min="11533" max="11533" width="7.88671875" style="31" customWidth="1"/>
    <col min="11534" max="11537" width="5.6640625" style="31" customWidth="1"/>
    <col min="11538" max="11538" width="2.88671875" style="31" customWidth="1"/>
    <col min="11539" max="11539" width="2.44140625" style="31" customWidth="1"/>
    <col min="11540" max="11542" width="0" style="31" hidden="1" customWidth="1"/>
    <col min="11543" max="11543" width="14.109375" style="31" customWidth="1"/>
    <col min="11544" max="11544" width="11.44140625" style="31" customWidth="1"/>
    <col min="11545" max="11545" width="34.44140625" style="31" customWidth="1"/>
    <col min="11546" max="11546" width="15.88671875" style="31" bestFit="1" customWidth="1"/>
    <col min="11547" max="11547" width="10.6640625" style="31" customWidth="1"/>
    <col min="11548" max="11548" width="15" style="31" bestFit="1" customWidth="1"/>
    <col min="11549" max="11549" width="14.44140625" style="31" bestFit="1" customWidth="1"/>
    <col min="11550" max="11550" width="23.44140625" style="31" bestFit="1" customWidth="1"/>
    <col min="11551" max="11551" width="31.33203125" style="31" bestFit="1" customWidth="1"/>
    <col min="11552" max="11772" width="9.109375" style="31"/>
    <col min="11773" max="11774" width="2.44140625" style="31" customWidth="1"/>
    <col min="11775" max="11775" width="32.109375" style="31" bestFit="1" customWidth="1"/>
    <col min="11776" max="11776" width="39.33203125" style="31" bestFit="1" customWidth="1"/>
    <col min="11777" max="11778" width="12.44140625" style="31" customWidth="1"/>
    <col min="11779" max="11779" width="13" style="31" customWidth="1"/>
    <col min="11780" max="11781" width="11.44140625" style="31" customWidth="1"/>
    <col min="11782" max="11783" width="12.109375" style="31" customWidth="1"/>
    <col min="11784" max="11786" width="12.44140625" style="31" customWidth="1"/>
    <col min="11787" max="11787" width="11.44140625" style="31" customWidth="1"/>
    <col min="11788" max="11788" width="13.109375" style="31" bestFit="1" customWidth="1"/>
    <col min="11789" max="11789" width="7.88671875" style="31" customWidth="1"/>
    <col min="11790" max="11793" width="5.6640625" style="31" customWidth="1"/>
    <col min="11794" max="11794" width="2.88671875" style="31" customWidth="1"/>
    <col min="11795" max="11795" width="2.44140625" style="31" customWidth="1"/>
    <col min="11796" max="11798" width="0" style="31" hidden="1" customWidth="1"/>
    <col min="11799" max="11799" width="14.109375" style="31" customWidth="1"/>
    <col min="11800" max="11800" width="11.44140625" style="31" customWidth="1"/>
    <col min="11801" max="11801" width="34.44140625" style="31" customWidth="1"/>
    <col min="11802" max="11802" width="15.88671875" style="31" bestFit="1" customWidth="1"/>
    <col min="11803" max="11803" width="10.6640625" style="31" customWidth="1"/>
    <col min="11804" max="11804" width="15" style="31" bestFit="1" customWidth="1"/>
    <col min="11805" max="11805" width="14.44140625" style="31" bestFit="1" customWidth="1"/>
    <col min="11806" max="11806" width="23.44140625" style="31" bestFit="1" customWidth="1"/>
    <col min="11807" max="11807" width="31.33203125" style="31" bestFit="1" customWidth="1"/>
    <col min="11808" max="12028" width="9.109375" style="31"/>
    <col min="12029" max="12030" width="2.44140625" style="31" customWidth="1"/>
    <col min="12031" max="12031" width="32.109375" style="31" bestFit="1" customWidth="1"/>
    <col min="12032" max="12032" width="39.33203125" style="31" bestFit="1" customWidth="1"/>
    <col min="12033" max="12034" width="12.44140625" style="31" customWidth="1"/>
    <col min="12035" max="12035" width="13" style="31" customWidth="1"/>
    <col min="12036" max="12037" width="11.44140625" style="31" customWidth="1"/>
    <col min="12038" max="12039" width="12.109375" style="31" customWidth="1"/>
    <col min="12040" max="12042" width="12.44140625" style="31" customWidth="1"/>
    <col min="12043" max="12043" width="11.44140625" style="31" customWidth="1"/>
    <col min="12044" max="12044" width="13.109375" style="31" bestFit="1" customWidth="1"/>
    <col min="12045" max="12045" width="7.88671875" style="31" customWidth="1"/>
    <col min="12046" max="12049" width="5.6640625" style="31" customWidth="1"/>
    <col min="12050" max="12050" width="2.88671875" style="31" customWidth="1"/>
    <col min="12051" max="12051" width="2.44140625" style="31" customWidth="1"/>
    <col min="12052" max="12054" width="0" style="31" hidden="1" customWidth="1"/>
    <col min="12055" max="12055" width="14.109375" style="31" customWidth="1"/>
    <col min="12056" max="12056" width="11.44140625" style="31" customWidth="1"/>
    <col min="12057" max="12057" width="34.44140625" style="31" customWidth="1"/>
    <col min="12058" max="12058" width="15.88671875" style="31" bestFit="1" customWidth="1"/>
    <col min="12059" max="12059" width="10.6640625" style="31" customWidth="1"/>
    <col min="12060" max="12060" width="15" style="31" bestFit="1" customWidth="1"/>
    <col min="12061" max="12061" width="14.44140625" style="31" bestFit="1" customWidth="1"/>
    <col min="12062" max="12062" width="23.44140625" style="31" bestFit="1" customWidth="1"/>
    <col min="12063" max="12063" width="31.33203125" style="31" bestFit="1" customWidth="1"/>
    <col min="12064" max="12284" width="9.109375" style="31"/>
    <col min="12285" max="12286" width="2.44140625" style="31" customWidth="1"/>
    <col min="12287" max="12287" width="32.109375" style="31" bestFit="1" customWidth="1"/>
    <col min="12288" max="12288" width="39.33203125" style="31" bestFit="1" customWidth="1"/>
    <col min="12289" max="12290" width="12.44140625" style="31" customWidth="1"/>
    <col min="12291" max="12291" width="13" style="31" customWidth="1"/>
    <col min="12292" max="12293" width="11.44140625" style="31" customWidth="1"/>
    <col min="12294" max="12295" width="12.109375" style="31" customWidth="1"/>
    <col min="12296" max="12298" width="12.44140625" style="31" customWidth="1"/>
    <col min="12299" max="12299" width="11.44140625" style="31" customWidth="1"/>
    <col min="12300" max="12300" width="13.109375" style="31" bestFit="1" customWidth="1"/>
    <col min="12301" max="12301" width="7.88671875" style="31" customWidth="1"/>
    <col min="12302" max="12305" width="5.6640625" style="31" customWidth="1"/>
    <col min="12306" max="12306" width="2.88671875" style="31" customWidth="1"/>
    <col min="12307" max="12307" width="2.44140625" style="31" customWidth="1"/>
    <col min="12308" max="12310" width="0" style="31" hidden="1" customWidth="1"/>
    <col min="12311" max="12311" width="14.109375" style="31" customWidth="1"/>
    <col min="12312" max="12312" width="11.44140625" style="31" customWidth="1"/>
    <col min="12313" max="12313" width="34.44140625" style="31" customWidth="1"/>
    <col min="12314" max="12314" width="15.88671875" style="31" bestFit="1" customWidth="1"/>
    <col min="12315" max="12315" width="10.6640625" style="31" customWidth="1"/>
    <col min="12316" max="12316" width="15" style="31" bestFit="1" customWidth="1"/>
    <col min="12317" max="12317" width="14.44140625" style="31" bestFit="1" customWidth="1"/>
    <col min="12318" max="12318" width="23.44140625" style="31" bestFit="1" customWidth="1"/>
    <col min="12319" max="12319" width="31.33203125" style="31" bestFit="1" customWidth="1"/>
    <col min="12320" max="12540" width="9.109375" style="31"/>
    <col min="12541" max="12542" width="2.44140625" style="31" customWidth="1"/>
    <col min="12543" max="12543" width="32.109375" style="31" bestFit="1" customWidth="1"/>
    <col min="12544" max="12544" width="39.33203125" style="31" bestFit="1" customWidth="1"/>
    <col min="12545" max="12546" width="12.44140625" style="31" customWidth="1"/>
    <col min="12547" max="12547" width="13" style="31" customWidth="1"/>
    <col min="12548" max="12549" width="11.44140625" style="31" customWidth="1"/>
    <col min="12550" max="12551" width="12.109375" style="31" customWidth="1"/>
    <col min="12552" max="12554" width="12.44140625" style="31" customWidth="1"/>
    <col min="12555" max="12555" width="11.44140625" style="31" customWidth="1"/>
    <col min="12556" max="12556" width="13.109375" style="31" bestFit="1" customWidth="1"/>
    <col min="12557" max="12557" width="7.88671875" style="31" customWidth="1"/>
    <col min="12558" max="12561" width="5.6640625" style="31" customWidth="1"/>
    <col min="12562" max="12562" width="2.88671875" style="31" customWidth="1"/>
    <col min="12563" max="12563" width="2.44140625" style="31" customWidth="1"/>
    <col min="12564" max="12566" width="0" style="31" hidden="1" customWidth="1"/>
    <col min="12567" max="12567" width="14.109375" style="31" customWidth="1"/>
    <col min="12568" max="12568" width="11.44140625" style="31" customWidth="1"/>
    <col min="12569" max="12569" width="34.44140625" style="31" customWidth="1"/>
    <col min="12570" max="12570" width="15.88671875" style="31" bestFit="1" customWidth="1"/>
    <col min="12571" max="12571" width="10.6640625" style="31" customWidth="1"/>
    <col min="12572" max="12572" width="15" style="31" bestFit="1" customWidth="1"/>
    <col min="12573" max="12573" width="14.44140625" style="31" bestFit="1" customWidth="1"/>
    <col min="12574" max="12574" width="23.44140625" style="31" bestFit="1" customWidth="1"/>
    <col min="12575" max="12575" width="31.33203125" style="31" bestFit="1" customWidth="1"/>
    <col min="12576" max="12796" width="9.109375" style="31"/>
    <col min="12797" max="12798" width="2.44140625" style="31" customWidth="1"/>
    <col min="12799" max="12799" width="32.109375" style="31" bestFit="1" customWidth="1"/>
    <col min="12800" max="12800" width="39.33203125" style="31" bestFit="1" customWidth="1"/>
    <col min="12801" max="12802" width="12.44140625" style="31" customWidth="1"/>
    <col min="12803" max="12803" width="13" style="31" customWidth="1"/>
    <col min="12804" max="12805" width="11.44140625" style="31" customWidth="1"/>
    <col min="12806" max="12807" width="12.109375" style="31" customWidth="1"/>
    <col min="12808" max="12810" width="12.44140625" style="31" customWidth="1"/>
    <col min="12811" max="12811" width="11.44140625" style="31" customWidth="1"/>
    <col min="12812" max="12812" width="13.109375" style="31" bestFit="1" customWidth="1"/>
    <col min="12813" max="12813" width="7.88671875" style="31" customWidth="1"/>
    <col min="12814" max="12817" width="5.6640625" style="31" customWidth="1"/>
    <col min="12818" max="12818" width="2.88671875" style="31" customWidth="1"/>
    <col min="12819" max="12819" width="2.44140625" style="31" customWidth="1"/>
    <col min="12820" max="12822" width="0" style="31" hidden="1" customWidth="1"/>
    <col min="12823" max="12823" width="14.109375" style="31" customWidth="1"/>
    <col min="12824" max="12824" width="11.44140625" style="31" customWidth="1"/>
    <col min="12825" max="12825" width="34.44140625" style="31" customWidth="1"/>
    <col min="12826" max="12826" width="15.88671875" style="31" bestFit="1" customWidth="1"/>
    <col min="12827" max="12827" width="10.6640625" style="31" customWidth="1"/>
    <col min="12828" max="12828" width="15" style="31" bestFit="1" customWidth="1"/>
    <col min="12829" max="12829" width="14.44140625" style="31" bestFit="1" customWidth="1"/>
    <col min="12830" max="12830" width="23.44140625" style="31" bestFit="1" customWidth="1"/>
    <col min="12831" max="12831" width="31.33203125" style="31" bestFit="1" customWidth="1"/>
    <col min="12832" max="13052" width="9.109375" style="31"/>
    <col min="13053" max="13054" width="2.44140625" style="31" customWidth="1"/>
    <col min="13055" max="13055" width="32.109375" style="31" bestFit="1" customWidth="1"/>
    <col min="13056" max="13056" width="39.33203125" style="31" bestFit="1" customWidth="1"/>
    <col min="13057" max="13058" width="12.44140625" style="31" customWidth="1"/>
    <col min="13059" max="13059" width="13" style="31" customWidth="1"/>
    <col min="13060" max="13061" width="11.44140625" style="31" customWidth="1"/>
    <col min="13062" max="13063" width="12.109375" style="31" customWidth="1"/>
    <col min="13064" max="13066" width="12.44140625" style="31" customWidth="1"/>
    <col min="13067" max="13067" width="11.44140625" style="31" customWidth="1"/>
    <col min="13068" max="13068" width="13.109375" style="31" bestFit="1" customWidth="1"/>
    <col min="13069" max="13069" width="7.88671875" style="31" customWidth="1"/>
    <col min="13070" max="13073" width="5.6640625" style="31" customWidth="1"/>
    <col min="13074" max="13074" width="2.88671875" style="31" customWidth="1"/>
    <col min="13075" max="13075" width="2.44140625" style="31" customWidth="1"/>
    <col min="13076" max="13078" width="0" style="31" hidden="1" customWidth="1"/>
    <col min="13079" max="13079" width="14.109375" style="31" customWidth="1"/>
    <col min="13080" max="13080" width="11.44140625" style="31" customWidth="1"/>
    <col min="13081" max="13081" width="34.44140625" style="31" customWidth="1"/>
    <col min="13082" max="13082" width="15.88671875" style="31" bestFit="1" customWidth="1"/>
    <col min="13083" max="13083" width="10.6640625" style="31" customWidth="1"/>
    <col min="13084" max="13084" width="15" style="31" bestFit="1" customWidth="1"/>
    <col min="13085" max="13085" width="14.44140625" style="31" bestFit="1" customWidth="1"/>
    <col min="13086" max="13086" width="23.44140625" style="31" bestFit="1" customWidth="1"/>
    <col min="13087" max="13087" width="31.33203125" style="31" bestFit="1" customWidth="1"/>
    <col min="13088" max="13308" width="9.109375" style="31"/>
    <col min="13309" max="13310" width="2.44140625" style="31" customWidth="1"/>
    <col min="13311" max="13311" width="32.109375" style="31" bestFit="1" customWidth="1"/>
    <col min="13312" max="13312" width="39.33203125" style="31" bestFit="1" customWidth="1"/>
    <col min="13313" max="13314" width="12.44140625" style="31" customWidth="1"/>
    <col min="13315" max="13315" width="13" style="31" customWidth="1"/>
    <col min="13316" max="13317" width="11.44140625" style="31" customWidth="1"/>
    <col min="13318" max="13319" width="12.109375" style="31" customWidth="1"/>
    <col min="13320" max="13322" width="12.44140625" style="31" customWidth="1"/>
    <col min="13323" max="13323" width="11.44140625" style="31" customWidth="1"/>
    <col min="13324" max="13324" width="13.109375" style="31" bestFit="1" customWidth="1"/>
    <col min="13325" max="13325" width="7.88671875" style="31" customWidth="1"/>
    <col min="13326" max="13329" width="5.6640625" style="31" customWidth="1"/>
    <col min="13330" max="13330" width="2.88671875" style="31" customWidth="1"/>
    <col min="13331" max="13331" width="2.44140625" style="31" customWidth="1"/>
    <col min="13332" max="13334" width="0" style="31" hidden="1" customWidth="1"/>
    <col min="13335" max="13335" width="14.109375" style="31" customWidth="1"/>
    <col min="13336" max="13336" width="11.44140625" style="31" customWidth="1"/>
    <col min="13337" max="13337" width="34.44140625" style="31" customWidth="1"/>
    <col min="13338" max="13338" width="15.88671875" style="31" bestFit="1" customWidth="1"/>
    <col min="13339" max="13339" width="10.6640625" style="31" customWidth="1"/>
    <col min="13340" max="13340" width="15" style="31" bestFit="1" customWidth="1"/>
    <col min="13341" max="13341" width="14.44140625" style="31" bestFit="1" customWidth="1"/>
    <col min="13342" max="13342" width="23.44140625" style="31" bestFit="1" customWidth="1"/>
    <col min="13343" max="13343" width="31.33203125" style="31" bestFit="1" customWidth="1"/>
    <col min="13344" max="13564" width="9.109375" style="31"/>
    <col min="13565" max="13566" width="2.44140625" style="31" customWidth="1"/>
    <col min="13567" max="13567" width="32.109375" style="31" bestFit="1" customWidth="1"/>
    <col min="13568" max="13568" width="39.33203125" style="31" bestFit="1" customWidth="1"/>
    <col min="13569" max="13570" width="12.44140625" style="31" customWidth="1"/>
    <col min="13571" max="13571" width="13" style="31" customWidth="1"/>
    <col min="13572" max="13573" width="11.44140625" style="31" customWidth="1"/>
    <col min="13574" max="13575" width="12.109375" style="31" customWidth="1"/>
    <col min="13576" max="13578" width="12.44140625" style="31" customWidth="1"/>
    <col min="13579" max="13579" width="11.44140625" style="31" customWidth="1"/>
    <col min="13580" max="13580" width="13.109375" style="31" bestFit="1" customWidth="1"/>
    <col min="13581" max="13581" width="7.88671875" style="31" customWidth="1"/>
    <col min="13582" max="13585" width="5.6640625" style="31" customWidth="1"/>
    <col min="13586" max="13586" width="2.88671875" style="31" customWidth="1"/>
    <col min="13587" max="13587" width="2.44140625" style="31" customWidth="1"/>
    <col min="13588" max="13590" width="0" style="31" hidden="1" customWidth="1"/>
    <col min="13591" max="13591" width="14.109375" style="31" customWidth="1"/>
    <col min="13592" max="13592" width="11.44140625" style="31" customWidth="1"/>
    <col min="13593" max="13593" width="34.44140625" style="31" customWidth="1"/>
    <col min="13594" max="13594" width="15.88671875" style="31" bestFit="1" customWidth="1"/>
    <col min="13595" max="13595" width="10.6640625" style="31" customWidth="1"/>
    <col min="13596" max="13596" width="15" style="31" bestFit="1" customWidth="1"/>
    <col min="13597" max="13597" width="14.44140625" style="31" bestFit="1" customWidth="1"/>
    <col min="13598" max="13598" width="23.44140625" style="31" bestFit="1" customWidth="1"/>
    <col min="13599" max="13599" width="31.33203125" style="31" bestFit="1" customWidth="1"/>
    <col min="13600" max="13820" width="9.109375" style="31"/>
    <col min="13821" max="13822" width="2.44140625" style="31" customWidth="1"/>
    <col min="13823" max="13823" width="32.109375" style="31" bestFit="1" customWidth="1"/>
    <col min="13824" max="13824" width="39.33203125" style="31" bestFit="1" customWidth="1"/>
    <col min="13825" max="13826" width="12.44140625" style="31" customWidth="1"/>
    <col min="13827" max="13827" width="13" style="31" customWidth="1"/>
    <col min="13828" max="13829" width="11.44140625" style="31" customWidth="1"/>
    <col min="13830" max="13831" width="12.109375" style="31" customWidth="1"/>
    <col min="13832" max="13834" width="12.44140625" style="31" customWidth="1"/>
    <col min="13835" max="13835" width="11.44140625" style="31" customWidth="1"/>
    <col min="13836" max="13836" width="13.109375" style="31" bestFit="1" customWidth="1"/>
    <col min="13837" max="13837" width="7.88671875" style="31" customWidth="1"/>
    <col min="13838" max="13841" width="5.6640625" style="31" customWidth="1"/>
    <col min="13842" max="13842" width="2.88671875" style="31" customWidth="1"/>
    <col min="13843" max="13843" width="2.44140625" style="31" customWidth="1"/>
    <col min="13844" max="13846" width="0" style="31" hidden="1" customWidth="1"/>
    <col min="13847" max="13847" width="14.109375" style="31" customWidth="1"/>
    <col min="13848" max="13848" width="11.44140625" style="31" customWidth="1"/>
    <col min="13849" max="13849" width="34.44140625" style="31" customWidth="1"/>
    <col min="13850" max="13850" width="15.88671875" style="31" bestFit="1" customWidth="1"/>
    <col min="13851" max="13851" width="10.6640625" style="31" customWidth="1"/>
    <col min="13852" max="13852" width="15" style="31" bestFit="1" customWidth="1"/>
    <col min="13853" max="13853" width="14.44140625" style="31" bestFit="1" customWidth="1"/>
    <col min="13854" max="13854" width="23.44140625" style="31" bestFit="1" customWidth="1"/>
    <col min="13855" max="13855" width="31.33203125" style="31" bestFit="1" customWidth="1"/>
    <col min="13856" max="14076" width="9.109375" style="31"/>
    <col min="14077" max="14078" width="2.44140625" style="31" customWidth="1"/>
    <col min="14079" max="14079" width="32.109375" style="31" bestFit="1" customWidth="1"/>
    <col min="14080" max="14080" width="39.33203125" style="31" bestFit="1" customWidth="1"/>
    <col min="14081" max="14082" width="12.44140625" style="31" customWidth="1"/>
    <col min="14083" max="14083" width="13" style="31" customWidth="1"/>
    <col min="14084" max="14085" width="11.44140625" style="31" customWidth="1"/>
    <col min="14086" max="14087" width="12.109375" style="31" customWidth="1"/>
    <col min="14088" max="14090" width="12.44140625" style="31" customWidth="1"/>
    <col min="14091" max="14091" width="11.44140625" style="31" customWidth="1"/>
    <col min="14092" max="14092" width="13.109375" style="31" bestFit="1" customWidth="1"/>
    <col min="14093" max="14093" width="7.88671875" style="31" customWidth="1"/>
    <col min="14094" max="14097" width="5.6640625" style="31" customWidth="1"/>
    <col min="14098" max="14098" width="2.88671875" style="31" customWidth="1"/>
    <col min="14099" max="14099" width="2.44140625" style="31" customWidth="1"/>
    <col min="14100" max="14102" width="0" style="31" hidden="1" customWidth="1"/>
    <col min="14103" max="14103" width="14.109375" style="31" customWidth="1"/>
    <col min="14104" max="14104" width="11.44140625" style="31" customWidth="1"/>
    <col min="14105" max="14105" width="34.44140625" style="31" customWidth="1"/>
    <col min="14106" max="14106" width="15.88671875" style="31" bestFit="1" customWidth="1"/>
    <col min="14107" max="14107" width="10.6640625" style="31" customWidth="1"/>
    <col min="14108" max="14108" width="15" style="31" bestFit="1" customWidth="1"/>
    <col min="14109" max="14109" width="14.44140625" style="31" bestFit="1" customWidth="1"/>
    <col min="14110" max="14110" width="23.44140625" style="31" bestFit="1" customWidth="1"/>
    <col min="14111" max="14111" width="31.33203125" style="31" bestFit="1" customWidth="1"/>
    <col min="14112" max="14332" width="9.109375" style="31"/>
    <col min="14333" max="14334" width="2.44140625" style="31" customWidth="1"/>
    <col min="14335" max="14335" width="32.109375" style="31" bestFit="1" customWidth="1"/>
    <col min="14336" max="14336" width="39.33203125" style="31" bestFit="1" customWidth="1"/>
    <col min="14337" max="14338" width="12.44140625" style="31" customWidth="1"/>
    <col min="14339" max="14339" width="13" style="31" customWidth="1"/>
    <col min="14340" max="14341" width="11.44140625" style="31" customWidth="1"/>
    <col min="14342" max="14343" width="12.109375" style="31" customWidth="1"/>
    <col min="14344" max="14346" width="12.44140625" style="31" customWidth="1"/>
    <col min="14347" max="14347" width="11.44140625" style="31" customWidth="1"/>
    <col min="14348" max="14348" width="13.109375" style="31" bestFit="1" customWidth="1"/>
    <col min="14349" max="14349" width="7.88671875" style="31" customWidth="1"/>
    <col min="14350" max="14353" width="5.6640625" style="31" customWidth="1"/>
    <col min="14354" max="14354" width="2.88671875" style="31" customWidth="1"/>
    <col min="14355" max="14355" width="2.44140625" style="31" customWidth="1"/>
    <col min="14356" max="14358" width="0" style="31" hidden="1" customWidth="1"/>
    <col min="14359" max="14359" width="14.109375" style="31" customWidth="1"/>
    <col min="14360" max="14360" width="11.44140625" style="31" customWidth="1"/>
    <col min="14361" max="14361" width="34.44140625" style="31" customWidth="1"/>
    <col min="14362" max="14362" width="15.88671875" style="31" bestFit="1" customWidth="1"/>
    <col min="14363" max="14363" width="10.6640625" style="31" customWidth="1"/>
    <col min="14364" max="14364" width="15" style="31" bestFit="1" customWidth="1"/>
    <col min="14365" max="14365" width="14.44140625" style="31" bestFit="1" customWidth="1"/>
    <col min="14366" max="14366" width="23.44140625" style="31" bestFit="1" customWidth="1"/>
    <col min="14367" max="14367" width="31.33203125" style="31" bestFit="1" customWidth="1"/>
    <col min="14368" max="14588" width="9.109375" style="31"/>
    <col min="14589" max="14590" width="2.44140625" style="31" customWidth="1"/>
    <col min="14591" max="14591" width="32.109375" style="31" bestFit="1" customWidth="1"/>
    <col min="14592" max="14592" width="39.33203125" style="31" bestFit="1" customWidth="1"/>
    <col min="14593" max="14594" width="12.44140625" style="31" customWidth="1"/>
    <col min="14595" max="14595" width="13" style="31" customWidth="1"/>
    <col min="14596" max="14597" width="11.44140625" style="31" customWidth="1"/>
    <col min="14598" max="14599" width="12.109375" style="31" customWidth="1"/>
    <col min="14600" max="14602" width="12.44140625" style="31" customWidth="1"/>
    <col min="14603" max="14603" width="11.44140625" style="31" customWidth="1"/>
    <col min="14604" max="14604" width="13.109375" style="31" bestFit="1" customWidth="1"/>
    <col min="14605" max="14605" width="7.88671875" style="31" customWidth="1"/>
    <col min="14606" max="14609" width="5.6640625" style="31" customWidth="1"/>
    <col min="14610" max="14610" width="2.88671875" style="31" customWidth="1"/>
    <col min="14611" max="14611" width="2.44140625" style="31" customWidth="1"/>
    <col min="14612" max="14614" width="0" style="31" hidden="1" customWidth="1"/>
    <col min="14615" max="14615" width="14.109375" style="31" customWidth="1"/>
    <col min="14616" max="14616" width="11.44140625" style="31" customWidth="1"/>
    <col min="14617" max="14617" width="34.44140625" style="31" customWidth="1"/>
    <col min="14618" max="14618" width="15.88671875" style="31" bestFit="1" customWidth="1"/>
    <col min="14619" max="14619" width="10.6640625" style="31" customWidth="1"/>
    <col min="14620" max="14620" width="15" style="31" bestFit="1" customWidth="1"/>
    <col min="14621" max="14621" width="14.44140625" style="31" bestFit="1" customWidth="1"/>
    <col min="14622" max="14622" width="23.44140625" style="31" bestFit="1" customWidth="1"/>
    <col min="14623" max="14623" width="31.33203125" style="31" bestFit="1" customWidth="1"/>
    <col min="14624" max="14844" width="9.109375" style="31"/>
    <col min="14845" max="14846" width="2.44140625" style="31" customWidth="1"/>
    <col min="14847" max="14847" width="32.109375" style="31" bestFit="1" customWidth="1"/>
    <col min="14848" max="14848" width="39.33203125" style="31" bestFit="1" customWidth="1"/>
    <col min="14849" max="14850" width="12.44140625" style="31" customWidth="1"/>
    <col min="14851" max="14851" width="13" style="31" customWidth="1"/>
    <col min="14852" max="14853" width="11.44140625" style="31" customWidth="1"/>
    <col min="14854" max="14855" width="12.109375" style="31" customWidth="1"/>
    <col min="14856" max="14858" width="12.44140625" style="31" customWidth="1"/>
    <col min="14859" max="14859" width="11.44140625" style="31" customWidth="1"/>
    <col min="14860" max="14860" width="13.109375" style="31" bestFit="1" customWidth="1"/>
    <col min="14861" max="14861" width="7.88671875" style="31" customWidth="1"/>
    <col min="14862" max="14865" width="5.6640625" style="31" customWidth="1"/>
    <col min="14866" max="14866" width="2.88671875" style="31" customWidth="1"/>
    <col min="14867" max="14867" width="2.44140625" style="31" customWidth="1"/>
    <col min="14868" max="14870" width="0" style="31" hidden="1" customWidth="1"/>
    <col min="14871" max="14871" width="14.109375" style="31" customWidth="1"/>
    <col min="14872" max="14872" width="11.44140625" style="31" customWidth="1"/>
    <col min="14873" max="14873" width="34.44140625" style="31" customWidth="1"/>
    <col min="14874" max="14874" width="15.88671875" style="31" bestFit="1" customWidth="1"/>
    <col min="14875" max="14875" width="10.6640625" style="31" customWidth="1"/>
    <col min="14876" max="14876" width="15" style="31" bestFit="1" customWidth="1"/>
    <col min="14877" max="14877" width="14.44140625" style="31" bestFit="1" customWidth="1"/>
    <col min="14878" max="14878" width="23.44140625" style="31" bestFit="1" customWidth="1"/>
    <col min="14879" max="14879" width="31.33203125" style="31" bestFit="1" customWidth="1"/>
    <col min="14880" max="15100" width="9.109375" style="31"/>
    <col min="15101" max="15102" width="2.44140625" style="31" customWidth="1"/>
    <col min="15103" max="15103" width="32.109375" style="31" bestFit="1" customWidth="1"/>
    <col min="15104" max="15104" width="39.33203125" style="31" bestFit="1" customWidth="1"/>
    <col min="15105" max="15106" width="12.44140625" style="31" customWidth="1"/>
    <col min="15107" max="15107" width="13" style="31" customWidth="1"/>
    <col min="15108" max="15109" width="11.44140625" style="31" customWidth="1"/>
    <col min="15110" max="15111" width="12.109375" style="31" customWidth="1"/>
    <col min="15112" max="15114" width="12.44140625" style="31" customWidth="1"/>
    <col min="15115" max="15115" width="11.44140625" style="31" customWidth="1"/>
    <col min="15116" max="15116" width="13.109375" style="31" bestFit="1" customWidth="1"/>
    <col min="15117" max="15117" width="7.88671875" style="31" customWidth="1"/>
    <col min="15118" max="15121" width="5.6640625" style="31" customWidth="1"/>
    <col min="15122" max="15122" width="2.88671875" style="31" customWidth="1"/>
    <col min="15123" max="15123" width="2.44140625" style="31" customWidth="1"/>
    <col min="15124" max="15126" width="0" style="31" hidden="1" customWidth="1"/>
    <col min="15127" max="15127" width="14.109375" style="31" customWidth="1"/>
    <col min="15128" max="15128" width="11.44140625" style="31" customWidth="1"/>
    <col min="15129" max="15129" width="34.44140625" style="31" customWidth="1"/>
    <col min="15130" max="15130" width="15.88671875" style="31" bestFit="1" customWidth="1"/>
    <col min="15131" max="15131" width="10.6640625" style="31" customWidth="1"/>
    <col min="15132" max="15132" width="15" style="31" bestFit="1" customWidth="1"/>
    <col min="15133" max="15133" width="14.44140625" style="31" bestFit="1" customWidth="1"/>
    <col min="15134" max="15134" width="23.44140625" style="31" bestFit="1" customWidth="1"/>
    <col min="15135" max="15135" width="31.33203125" style="31" bestFit="1" customWidth="1"/>
    <col min="15136" max="15356" width="9.109375" style="31"/>
    <col min="15357" max="15358" width="2.44140625" style="31" customWidth="1"/>
    <col min="15359" max="15359" width="32.109375" style="31" bestFit="1" customWidth="1"/>
    <col min="15360" max="15360" width="39.33203125" style="31" bestFit="1" customWidth="1"/>
    <col min="15361" max="15362" width="12.44140625" style="31" customWidth="1"/>
    <col min="15363" max="15363" width="13" style="31" customWidth="1"/>
    <col min="15364" max="15365" width="11.44140625" style="31" customWidth="1"/>
    <col min="15366" max="15367" width="12.109375" style="31" customWidth="1"/>
    <col min="15368" max="15370" width="12.44140625" style="31" customWidth="1"/>
    <col min="15371" max="15371" width="11.44140625" style="31" customWidth="1"/>
    <col min="15372" max="15372" width="13.109375" style="31" bestFit="1" customWidth="1"/>
    <col min="15373" max="15373" width="7.88671875" style="31" customWidth="1"/>
    <col min="15374" max="15377" width="5.6640625" style="31" customWidth="1"/>
    <col min="15378" max="15378" width="2.88671875" style="31" customWidth="1"/>
    <col min="15379" max="15379" width="2.44140625" style="31" customWidth="1"/>
    <col min="15380" max="15382" width="0" style="31" hidden="1" customWidth="1"/>
    <col min="15383" max="15383" width="14.109375" style="31" customWidth="1"/>
    <col min="15384" max="15384" width="11.44140625" style="31" customWidth="1"/>
    <col min="15385" max="15385" width="34.44140625" style="31" customWidth="1"/>
    <col min="15386" max="15386" width="15.88671875" style="31" bestFit="1" customWidth="1"/>
    <col min="15387" max="15387" width="10.6640625" style="31" customWidth="1"/>
    <col min="15388" max="15388" width="15" style="31" bestFit="1" customWidth="1"/>
    <col min="15389" max="15389" width="14.44140625" style="31" bestFit="1" customWidth="1"/>
    <col min="15390" max="15390" width="23.44140625" style="31" bestFit="1" customWidth="1"/>
    <col min="15391" max="15391" width="31.33203125" style="31" bestFit="1" customWidth="1"/>
    <col min="15392" max="15612" width="9.109375" style="31"/>
    <col min="15613" max="15614" width="2.44140625" style="31" customWidth="1"/>
    <col min="15615" max="15615" width="32.109375" style="31" bestFit="1" customWidth="1"/>
    <col min="15616" max="15616" width="39.33203125" style="31" bestFit="1" customWidth="1"/>
    <col min="15617" max="15618" width="12.44140625" style="31" customWidth="1"/>
    <col min="15619" max="15619" width="13" style="31" customWidth="1"/>
    <col min="15620" max="15621" width="11.44140625" style="31" customWidth="1"/>
    <col min="15622" max="15623" width="12.109375" style="31" customWidth="1"/>
    <col min="15624" max="15626" width="12.44140625" style="31" customWidth="1"/>
    <col min="15627" max="15627" width="11.44140625" style="31" customWidth="1"/>
    <col min="15628" max="15628" width="13.109375" style="31" bestFit="1" customWidth="1"/>
    <col min="15629" max="15629" width="7.88671875" style="31" customWidth="1"/>
    <col min="15630" max="15633" width="5.6640625" style="31" customWidth="1"/>
    <col min="15634" max="15634" width="2.88671875" style="31" customWidth="1"/>
    <col min="15635" max="15635" width="2.44140625" style="31" customWidth="1"/>
    <col min="15636" max="15638" width="0" style="31" hidden="1" customWidth="1"/>
    <col min="15639" max="15639" width="14.109375" style="31" customWidth="1"/>
    <col min="15640" max="15640" width="11.44140625" style="31" customWidth="1"/>
    <col min="15641" max="15641" width="34.44140625" style="31" customWidth="1"/>
    <col min="15642" max="15642" width="15.88671875" style="31" bestFit="1" customWidth="1"/>
    <col min="15643" max="15643" width="10.6640625" style="31" customWidth="1"/>
    <col min="15644" max="15644" width="15" style="31" bestFit="1" customWidth="1"/>
    <col min="15645" max="15645" width="14.44140625" style="31" bestFit="1" customWidth="1"/>
    <col min="15646" max="15646" width="23.44140625" style="31" bestFit="1" customWidth="1"/>
    <col min="15647" max="15647" width="31.33203125" style="31" bestFit="1" customWidth="1"/>
    <col min="15648" max="15868" width="9.109375" style="31"/>
    <col min="15869" max="15870" width="2.44140625" style="31" customWidth="1"/>
    <col min="15871" max="15871" width="32.109375" style="31" bestFit="1" customWidth="1"/>
    <col min="15872" max="15872" width="39.33203125" style="31" bestFit="1" customWidth="1"/>
    <col min="15873" max="15874" width="12.44140625" style="31" customWidth="1"/>
    <col min="15875" max="15875" width="13" style="31" customWidth="1"/>
    <col min="15876" max="15877" width="11.44140625" style="31" customWidth="1"/>
    <col min="15878" max="15879" width="12.109375" style="31" customWidth="1"/>
    <col min="15880" max="15882" width="12.44140625" style="31" customWidth="1"/>
    <col min="15883" max="15883" width="11.44140625" style="31" customWidth="1"/>
    <col min="15884" max="15884" width="13.109375" style="31" bestFit="1" customWidth="1"/>
    <col min="15885" max="15885" width="7.88671875" style="31" customWidth="1"/>
    <col min="15886" max="15889" width="5.6640625" style="31" customWidth="1"/>
    <col min="15890" max="15890" width="2.88671875" style="31" customWidth="1"/>
    <col min="15891" max="15891" width="2.44140625" style="31" customWidth="1"/>
    <col min="15892" max="15894" width="0" style="31" hidden="1" customWidth="1"/>
    <col min="15895" max="15895" width="14.109375" style="31" customWidth="1"/>
    <col min="15896" max="15896" width="11.44140625" style="31" customWidth="1"/>
    <col min="15897" max="15897" width="34.44140625" style="31" customWidth="1"/>
    <col min="15898" max="15898" width="15.88671875" style="31" bestFit="1" customWidth="1"/>
    <col min="15899" max="15899" width="10.6640625" style="31" customWidth="1"/>
    <col min="15900" max="15900" width="15" style="31" bestFit="1" customWidth="1"/>
    <col min="15901" max="15901" width="14.44140625" style="31" bestFit="1" customWidth="1"/>
    <col min="15902" max="15902" width="23.44140625" style="31" bestFit="1" customWidth="1"/>
    <col min="15903" max="15903" width="31.33203125" style="31" bestFit="1" customWidth="1"/>
    <col min="15904" max="16124" width="9.109375" style="31"/>
    <col min="16125" max="16126" width="2.44140625" style="31" customWidth="1"/>
    <col min="16127" max="16127" width="32.109375" style="31" bestFit="1" customWidth="1"/>
    <col min="16128" max="16128" width="39.33203125" style="31" bestFit="1" customWidth="1"/>
    <col min="16129" max="16130" width="12.44140625" style="31" customWidth="1"/>
    <col min="16131" max="16131" width="13" style="31" customWidth="1"/>
    <col min="16132" max="16133" width="11.44140625" style="31" customWidth="1"/>
    <col min="16134" max="16135" width="12.109375" style="31" customWidth="1"/>
    <col min="16136" max="16138" width="12.44140625" style="31" customWidth="1"/>
    <col min="16139" max="16139" width="11.44140625" style="31" customWidth="1"/>
    <col min="16140" max="16140" width="13.109375" style="31" bestFit="1" customWidth="1"/>
    <col min="16141" max="16141" width="7.88671875" style="31" customWidth="1"/>
    <col min="16142" max="16145" width="5.6640625" style="31" customWidth="1"/>
    <col min="16146" max="16146" width="2.88671875" style="31" customWidth="1"/>
    <col min="16147" max="16147" width="2.44140625" style="31" customWidth="1"/>
    <col min="16148" max="16150" width="0" style="31" hidden="1" customWidth="1"/>
    <col min="16151" max="16151" width="14.109375" style="31" customWidth="1"/>
    <col min="16152" max="16152" width="11.44140625" style="31" customWidth="1"/>
    <col min="16153" max="16153" width="34.44140625" style="31" customWidth="1"/>
    <col min="16154" max="16154" width="15.88671875" style="31" bestFit="1" customWidth="1"/>
    <col min="16155" max="16155" width="10.6640625" style="31" customWidth="1"/>
    <col min="16156" max="16156" width="15" style="31" bestFit="1" customWidth="1"/>
    <col min="16157" max="16157" width="14.44140625" style="31" bestFit="1" customWidth="1"/>
    <col min="16158" max="16158" width="23.44140625" style="31" bestFit="1" customWidth="1"/>
    <col min="16159" max="16159" width="31.33203125" style="31" bestFit="1" customWidth="1"/>
    <col min="16160" max="16384" width="11.44140625" style="31"/>
  </cols>
  <sheetData>
    <row r="1" spans="1:31" ht="15" customHeight="1">
      <c r="A1" s="31" t="s">
        <v>357</v>
      </c>
      <c r="C1" s="32"/>
      <c r="D1" s="32"/>
      <c r="E1" s="32"/>
      <c r="F1" s="33"/>
      <c r="G1" s="33"/>
      <c r="H1" s="33"/>
      <c r="I1" s="34"/>
      <c r="J1" s="33"/>
      <c r="K1" s="35"/>
      <c r="L1" s="35"/>
      <c r="N1" s="37"/>
      <c r="O1" s="37"/>
      <c r="P1" s="33"/>
      <c r="Q1" s="33"/>
      <c r="R1" s="33"/>
      <c r="S1" s="33"/>
      <c r="T1" s="33"/>
      <c r="U1" s="38"/>
    </row>
    <row r="2" spans="1:31" ht="15" customHeight="1">
      <c r="B2" s="39"/>
      <c r="C2" s="40"/>
      <c r="D2" s="40"/>
      <c r="E2" s="40"/>
      <c r="F2" s="40"/>
      <c r="G2" s="40"/>
      <c r="H2" s="40"/>
      <c r="I2" s="40"/>
      <c r="J2" s="40"/>
      <c r="K2" s="40"/>
      <c r="L2" s="40"/>
      <c r="M2" s="41"/>
      <c r="N2" s="41"/>
      <c r="O2" s="41"/>
      <c r="P2" s="40"/>
      <c r="Q2" s="40"/>
      <c r="R2" s="40"/>
      <c r="S2" s="40"/>
      <c r="T2" s="42"/>
    </row>
    <row r="3" spans="1:31" ht="15.75" customHeight="1">
      <c r="B3" s="44"/>
      <c r="C3" s="134"/>
      <c r="D3" s="134"/>
      <c r="E3" s="134"/>
      <c r="F3" s="134"/>
      <c r="G3" s="134"/>
      <c r="H3" s="134"/>
      <c r="I3" s="134"/>
      <c r="J3" s="134"/>
      <c r="K3" s="134"/>
      <c r="L3" s="134"/>
      <c r="M3" s="134"/>
      <c r="N3" s="134"/>
      <c r="O3" s="134"/>
      <c r="P3" s="134"/>
      <c r="Q3" s="134"/>
      <c r="R3" s="134"/>
      <c r="S3" s="134"/>
      <c r="T3" s="45"/>
      <c r="Y3" s="135"/>
      <c r="Z3" s="135"/>
      <c r="AA3" s="135"/>
      <c r="AB3" s="135"/>
    </row>
    <row r="4" spans="1:31" ht="15" customHeight="1">
      <c r="B4" s="44"/>
      <c r="C4" s="46"/>
      <c r="D4" s="46"/>
      <c r="E4" s="46"/>
      <c r="F4" s="46"/>
      <c r="G4" s="46"/>
      <c r="H4" s="47"/>
      <c r="I4" s="47"/>
      <c r="J4" s="47"/>
      <c r="K4" s="46"/>
      <c r="L4" s="46"/>
      <c r="M4" s="48"/>
      <c r="N4" s="48"/>
      <c r="O4" s="48"/>
      <c r="P4" s="46"/>
      <c r="Q4" s="46"/>
      <c r="R4" s="46"/>
      <c r="S4" s="46"/>
      <c r="T4" s="45"/>
    </row>
    <row r="5" spans="1:31" s="49" customFormat="1" ht="12.75" customHeight="1">
      <c r="B5" s="50"/>
      <c r="C5" s="136" t="s">
        <v>358</v>
      </c>
      <c r="D5" s="137"/>
      <c r="E5" s="138"/>
      <c r="F5" s="118" t="s">
        <v>359</v>
      </c>
      <c r="G5" s="118" t="s">
        <v>360</v>
      </c>
      <c r="H5" s="118" t="s">
        <v>361</v>
      </c>
      <c r="I5" s="118" t="s">
        <v>362</v>
      </c>
      <c r="J5" s="118" t="s">
        <v>363</v>
      </c>
      <c r="K5" s="118" t="s">
        <v>364</v>
      </c>
      <c r="L5" s="118" t="s">
        <v>365</v>
      </c>
      <c r="M5" s="126" t="s">
        <v>366</v>
      </c>
      <c r="N5" s="126" t="s">
        <v>367</v>
      </c>
      <c r="O5" s="126" t="s">
        <v>368</v>
      </c>
      <c r="P5" s="120" t="s">
        <v>369</v>
      </c>
      <c r="Q5" s="121"/>
      <c r="R5" s="121"/>
      <c r="S5" s="122"/>
      <c r="T5" s="51"/>
      <c r="U5" s="52"/>
      <c r="Y5" s="53"/>
      <c r="Z5" s="53"/>
      <c r="AA5" s="53"/>
      <c r="AB5" s="53"/>
      <c r="AC5" s="53"/>
      <c r="AD5" s="53"/>
      <c r="AE5" s="53"/>
    </row>
    <row r="6" spans="1:31" s="49" customFormat="1" ht="15" customHeight="1">
      <c r="B6" s="50"/>
      <c r="C6" s="139"/>
      <c r="D6" s="140"/>
      <c r="E6" s="141"/>
      <c r="F6" s="119"/>
      <c r="G6" s="119"/>
      <c r="H6" s="119"/>
      <c r="I6" s="119"/>
      <c r="J6" s="119"/>
      <c r="K6" s="119"/>
      <c r="L6" s="119"/>
      <c r="M6" s="127"/>
      <c r="N6" s="127"/>
      <c r="O6" s="127"/>
      <c r="P6" s="54" t="s">
        <v>370</v>
      </c>
      <c r="Q6" s="54" t="s">
        <v>371</v>
      </c>
      <c r="R6" s="54" t="s">
        <v>372</v>
      </c>
      <c r="S6" s="54" t="s">
        <v>373</v>
      </c>
      <c r="T6" s="51"/>
      <c r="U6" s="52"/>
      <c r="Y6" s="55"/>
      <c r="Z6" s="55"/>
      <c r="AA6" s="55"/>
      <c r="AB6" s="55"/>
      <c r="AC6" s="55"/>
      <c r="AD6" s="55"/>
      <c r="AE6" s="55"/>
    </row>
    <row r="7" spans="1:31" s="56" customFormat="1" ht="15.75" customHeight="1">
      <c r="B7" s="57"/>
      <c r="C7" s="142"/>
      <c r="D7" s="143"/>
      <c r="E7" s="144"/>
      <c r="F7" s="58">
        <f>F14</f>
        <v>32</v>
      </c>
      <c r="G7" s="58">
        <f t="shared" ref="G7:I7" si="0">G14</f>
        <v>32</v>
      </c>
      <c r="H7" s="58">
        <f t="shared" si="0"/>
        <v>0</v>
      </c>
      <c r="I7" s="58">
        <f t="shared" si="0"/>
        <v>0</v>
      </c>
      <c r="J7" s="58">
        <f t="shared" ref="J7:P7" si="1">J14</f>
        <v>0</v>
      </c>
      <c r="K7" s="58">
        <f t="shared" si="1"/>
        <v>0</v>
      </c>
      <c r="L7" s="58">
        <f t="shared" si="1"/>
        <v>0</v>
      </c>
      <c r="M7" s="59">
        <f t="shared" si="1"/>
        <v>1</v>
      </c>
      <c r="N7" s="60">
        <f t="shared" si="1"/>
        <v>0</v>
      </c>
      <c r="O7" s="61">
        <f t="shared" si="1"/>
        <v>1</v>
      </c>
      <c r="P7" s="62">
        <f t="shared" si="1"/>
        <v>0</v>
      </c>
      <c r="Q7" s="62">
        <f t="shared" ref="Q7:R7" si="2">Q14</f>
        <v>0</v>
      </c>
      <c r="R7" s="62">
        <f t="shared" si="2"/>
        <v>0</v>
      </c>
      <c r="S7" s="62">
        <f>S14</f>
        <v>0</v>
      </c>
      <c r="T7" s="63"/>
      <c r="U7" s="64"/>
      <c r="V7" s="56">
        <v>1</v>
      </c>
      <c r="W7" s="56">
        <v>2</v>
      </c>
      <c r="X7" s="56">
        <v>3</v>
      </c>
      <c r="Y7" s="55"/>
      <c r="Z7" s="55"/>
      <c r="AA7" s="55"/>
      <c r="AB7" s="55"/>
      <c r="AC7" s="55"/>
      <c r="AD7" s="55"/>
      <c r="AE7" s="55"/>
    </row>
    <row r="8" spans="1:31" s="49" customFormat="1" ht="15" customHeight="1">
      <c r="B8" s="50"/>
      <c r="C8" s="65"/>
      <c r="D8" s="65"/>
      <c r="E8" s="65"/>
      <c r="F8" s="65"/>
      <c r="G8" s="65">
        <v>14</v>
      </c>
      <c r="H8" s="65">
        <v>15</v>
      </c>
      <c r="I8" s="65"/>
      <c r="J8" s="65"/>
      <c r="K8" s="65"/>
      <c r="L8" s="65"/>
      <c r="M8" s="66"/>
      <c r="N8" s="66"/>
      <c r="O8" s="66"/>
      <c r="P8" s="65"/>
      <c r="Q8" s="65"/>
      <c r="R8" s="65"/>
      <c r="S8" s="65"/>
      <c r="T8" s="67"/>
      <c r="U8" s="68"/>
      <c r="Y8" s="55"/>
      <c r="Z8" s="55"/>
      <c r="AA8" s="55"/>
      <c r="AB8" s="55"/>
      <c r="AC8" s="55"/>
      <c r="AD8" s="55"/>
      <c r="AE8" s="55"/>
    </row>
    <row r="9" spans="1:31" s="49" customFormat="1" ht="15" customHeight="1">
      <c r="B9" s="50"/>
      <c r="C9" s="128" t="s">
        <v>374</v>
      </c>
      <c r="D9" s="130" t="s">
        <v>375</v>
      </c>
      <c r="E9" s="131"/>
      <c r="F9" s="132" t="s">
        <v>359</v>
      </c>
      <c r="G9" s="118" t="s">
        <v>360</v>
      </c>
      <c r="H9" s="118" t="s">
        <v>361</v>
      </c>
      <c r="I9" s="118" t="s">
        <v>362</v>
      </c>
      <c r="J9" s="118" t="s">
        <v>363</v>
      </c>
      <c r="K9" s="118" t="s">
        <v>376</v>
      </c>
      <c r="L9" s="118" t="s">
        <v>365</v>
      </c>
      <c r="M9" s="126" t="s">
        <v>366</v>
      </c>
      <c r="N9" s="126" t="s">
        <v>367</v>
      </c>
      <c r="O9" s="126" t="s">
        <v>368</v>
      </c>
      <c r="P9" s="120" t="s">
        <v>369</v>
      </c>
      <c r="Q9" s="121"/>
      <c r="R9" s="121"/>
      <c r="S9" s="122"/>
      <c r="T9" s="67"/>
      <c r="U9" s="68"/>
      <c r="Y9" s="55"/>
      <c r="Z9" s="55"/>
      <c r="AA9" s="55"/>
      <c r="AB9" s="55"/>
      <c r="AC9" s="55"/>
      <c r="AD9" s="55"/>
      <c r="AE9" s="55"/>
    </row>
    <row r="10" spans="1:31" s="49" customFormat="1" ht="15" customHeight="1">
      <c r="B10" s="50"/>
      <c r="C10" s="129"/>
      <c r="D10" s="69" t="s">
        <v>377</v>
      </c>
      <c r="E10" s="70" t="s">
        <v>378</v>
      </c>
      <c r="F10" s="133"/>
      <c r="G10" s="119"/>
      <c r="H10" s="119"/>
      <c r="I10" s="119"/>
      <c r="J10" s="119"/>
      <c r="K10" s="119"/>
      <c r="L10" s="119"/>
      <c r="M10" s="127"/>
      <c r="N10" s="127"/>
      <c r="O10" s="127"/>
      <c r="P10" s="54" t="s">
        <v>370</v>
      </c>
      <c r="Q10" s="54" t="s">
        <v>371</v>
      </c>
      <c r="R10" s="54" t="s">
        <v>372</v>
      </c>
      <c r="S10" s="54" t="s">
        <v>373</v>
      </c>
      <c r="T10" s="67"/>
      <c r="U10" s="68"/>
      <c r="Y10" s="55"/>
      <c r="Z10" s="55"/>
      <c r="AA10" s="55"/>
      <c r="AB10" s="55"/>
      <c r="AC10" s="55"/>
      <c r="AD10" s="55"/>
      <c r="AE10" s="55"/>
    </row>
    <row r="11" spans="1:31" s="49" customFormat="1" ht="15.75" customHeight="1">
      <c r="B11" s="50"/>
      <c r="C11" s="71" t="s">
        <v>379</v>
      </c>
      <c r="D11" s="123" t="s">
        <v>380</v>
      </c>
      <c r="E11" s="123"/>
      <c r="F11" s="73">
        <f t="shared" ref="F11:L11" si="3">SUM(F12:F13)</f>
        <v>32</v>
      </c>
      <c r="G11" s="73">
        <f t="shared" si="3"/>
        <v>32</v>
      </c>
      <c r="H11" s="73">
        <f t="shared" si="3"/>
        <v>0</v>
      </c>
      <c r="I11" s="73">
        <f t="shared" si="3"/>
        <v>0</v>
      </c>
      <c r="J11" s="73">
        <f t="shared" si="3"/>
        <v>0</v>
      </c>
      <c r="K11" s="73">
        <f t="shared" si="3"/>
        <v>0</v>
      </c>
      <c r="L11" s="73">
        <f t="shared" si="3"/>
        <v>0</v>
      </c>
      <c r="M11" s="74">
        <f>G11/(F11-K11)</f>
        <v>1</v>
      </c>
      <c r="N11" s="75">
        <f>I11/(F11-K11)</f>
        <v>0</v>
      </c>
      <c r="O11" s="76">
        <f>M11-N11</f>
        <v>1</v>
      </c>
      <c r="P11" s="77">
        <f>SUM(P12:P13)</f>
        <v>0</v>
      </c>
      <c r="Q11" s="77">
        <f>SUM(Q12:Q13)</f>
        <v>0</v>
      </c>
      <c r="R11" s="77">
        <f>SUM(R12:R13)</f>
        <v>0</v>
      </c>
      <c r="S11" s="77">
        <f>SUM(S12:S13)</f>
        <v>0</v>
      </c>
      <c r="T11" s="67"/>
      <c r="U11" s="68"/>
      <c r="Y11" s="55"/>
      <c r="Z11" s="55"/>
      <c r="AA11" s="55"/>
      <c r="AB11" s="55"/>
      <c r="AC11" s="55"/>
      <c r="AD11" s="55"/>
      <c r="AE11" s="55"/>
    </row>
    <row r="12" spans="1:31" s="49" customFormat="1" ht="15.6">
      <c r="B12" s="50"/>
      <c r="C12" s="78" t="s">
        <v>381</v>
      </c>
      <c r="D12" s="124"/>
      <c r="E12" s="124"/>
      <c r="F12" s="79">
        <v>16</v>
      </c>
      <c r="G12" s="79">
        <f>F12</f>
        <v>16</v>
      </c>
      <c r="H12" s="79">
        <v>0</v>
      </c>
      <c r="I12" s="79">
        <v>0</v>
      </c>
      <c r="J12" s="80">
        <v>0</v>
      </c>
      <c r="K12" s="79">
        <v>0</v>
      </c>
      <c r="L12" s="79">
        <v>0</v>
      </c>
      <c r="M12" s="81">
        <f>G12/(F12-K12)</f>
        <v>1</v>
      </c>
      <c r="N12" s="82">
        <f>I12/(F12-K12)</f>
        <v>0</v>
      </c>
      <c r="O12" s="83">
        <f>M12-N12</f>
        <v>1</v>
      </c>
      <c r="P12" s="79">
        <v>0</v>
      </c>
      <c r="Q12" s="84">
        <v>0</v>
      </c>
      <c r="R12" s="84">
        <v>0</v>
      </c>
      <c r="S12" s="84">
        <v>0</v>
      </c>
      <c r="T12" s="67"/>
      <c r="U12" s="68"/>
      <c r="Y12" s="55"/>
      <c r="Z12" s="55"/>
      <c r="AA12" s="55"/>
      <c r="AB12" s="55"/>
      <c r="AC12" s="55"/>
      <c r="AD12" s="55"/>
      <c r="AE12" s="55"/>
    </row>
    <row r="13" spans="1:31" s="49" customFormat="1" ht="15.6">
      <c r="B13" s="50"/>
      <c r="C13" s="78" t="s">
        <v>382</v>
      </c>
      <c r="D13" s="124"/>
      <c r="E13" s="124"/>
      <c r="F13" s="79">
        <v>16</v>
      </c>
      <c r="G13" s="79">
        <f t="shared" ref="G13" si="4">F13</f>
        <v>16</v>
      </c>
      <c r="H13" s="79">
        <v>0</v>
      </c>
      <c r="I13" s="79">
        <v>0</v>
      </c>
      <c r="J13" s="80">
        <v>0</v>
      </c>
      <c r="K13" s="79">
        <v>0</v>
      </c>
      <c r="L13" s="79">
        <v>0</v>
      </c>
      <c r="M13" s="81">
        <f>G13/(F13-K13)</f>
        <v>1</v>
      </c>
      <c r="N13" s="82">
        <f>I13/(F13-K13)</f>
        <v>0</v>
      </c>
      <c r="O13" s="83">
        <f>M13-N13</f>
        <v>1</v>
      </c>
      <c r="P13" s="79">
        <v>0</v>
      </c>
      <c r="Q13" s="84">
        <v>0</v>
      </c>
      <c r="R13" s="84">
        <v>0</v>
      </c>
      <c r="S13" s="84">
        <v>0</v>
      </c>
      <c r="T13" s="67"/>
      <c r="U13" s="68"/>
      <c r="Y13" s="55"/>
      <c r="Z13" s="55"/>
      <c r="AA13" s="55"/>
      <c r="AB13" s="55"/>
      <c r="AC13" s="55"/>
      <c r="AD13" s="55"/>
      <c r="AE13" s="55"/>
    </row>
    <row r="14" spans="1:31" s="49" customFormat="1" ht="15.75" customHeight="1">
      <c r="B14" s="50"/>
      <c r="C14" s="85" t="s">
        <v>358</v>
      </c>
      <c r="D14" s="86">
        <v>42499</v>
      </c>
      <c r="E14" s="72"/>
      <c r="F14" s="73">
        <f t="shared" ref="F14:L14" si="5">SUM(F12:F13)</f>
        <v>32</v>
      </c>
      <c r="G14" s="73">
        <f t="shared" si="5"/>
        <v>32</v>
      </c>
      <c r="H14" s="73">
        <f t="shared" si="5"/>
        <v>0</v>
      </c>
      <c r="I14" s="73">
        <f t="shared" si="5"/>
        <v>0</v>
      </c>
      <c r="J14" s="73">
        <f t="shared" si="5"/>
        <v>0</v>
      </c>
      <c r="K14" s="73">
        <f t="shared" si="5"/>
        <v>0</v>
      </c>
      <c r="L14" s="73">
        <f t="shared" si="5"/>
        <v>0</v>
      </c>
      <c r="M14" s="87">
        <f>G14/(F14-K14)</f>
        <v>1</v>
      </c>
      <c r="N14" s="88">
        <f>I14/(F14-K14)</f>
        <v>0</v>
      </c>
      <c r="O14" s="88">
        <f>M14-N14</f>
        <v>1</v>
      </c>
      <c r="P14" s="77">
        <f>SUM(P12:P13)</f>
        <v>0</v>
      </c>
      <c r="Q14" s="77">
        <f>SUM(Q12:Q13)</f>
        <v>0</v>
      </c>
      <c r="R14" s="77">
        <f>SUM(R12:R13)</f>
        <v>0</v>
      </c>
      <c r="S14" s="77">
        <f>SUM(S12:S13)</f>
        <v>0</v>
      </c>
      <c r="T14" s="67"/>
      <c r="U14" s="68"/>
      <c r="Y14" s="55"/>
      <c r="Z14" s="55"/>
      <c r="AA14" s="55"/>
      <c r="AB14" s="55"/>
      <c r="AC14" s="55"/>
      <c r="AD14" s="55"/>
      <c r="AE14" s="55"/>
    </row>
    <row r="15" spans="1:31">
      <c r="B15" s="89"/>
      <c r="C15" s="90"/>
      <c r="D15" s="90"/>
      <c r="E15" s="90"/>
      <c r="F15" s="90"/>
      <c r="G15" s="90"/>
      <c r="H15" s="90"/>
      <c r="I15" s="90"/>
      <c r="J15" s="90"/>
      <c r="K15" s="90"/>
      <c r="L15" s="90"/>
      <c r="M15" s="91"/>
      <c r="N15" s="91"/>
      <c r="O15" s="91"/>
      <c r="P15" s="90"/>
      <c r="Q15" s="90"/>
      <c r="R15" s="90"/>
      <c r="S15" s="90"/>
      <c r="T15" s="92"/>
    </row>
    <row r="16" spans="1:31">
      <c r="F16" s="125"/>
      <c r="G16" s="125"/>
      <c r="H16" s="125"/>
    </row>
  </sheetData>
  <mergeCells count="30">
    <mergeCell ref="C3:S3"/>
    <mergeCell ref="Y3:AB3"/>
    <mergeCell ref="C5:E7"/>
    <mergeCell ref="F5:F6"/>
    <mergeCell ref="G5:G6"/>
    <mergeCell ref="H5:H6"/>
    <mergeCell ref="I5:I6"/>
    <mergeCell ref="J5:J6"/>
    <mergeCell ref="K5:K6"/>
    <mergeCell ref="L5:L6"/>
    <mergeCell ref="M5:M6"/>
    <mergeCell ref="N5:N6"/>
    <mergeCell ref="O5:O6"/>
    <mergeCell ref="P5:S5"/>
    <mergeCell ref="C9:C10"/>
    <mergeCell ref="D9:E9"/>
    <mergeCell ref="F9:F10"/>
    <mergeCell ref="G9:G10"/>
    <mergeCell ref="H9:H10"/>
    <mergeCell ref="I9:I10"/>
    <mergeCell ref="P9:S9"/>
    <mergeCell ref="D11:D13"/>
    <mergeCell ref="E11:E13"/>
    <mergeCell ref="F16:H16"/>
    <mergeCell ref="J9:J10"/>
    <mergeCell ref="K9:K10"/>
    <mergeCell ref="L9:L10"/>
    <mergeCell ref="M9:M10"/>
    <mergeCell ref="N9:N10"/>
    <mergeCell ref="O9:O10"/>
  </mergeCells>
  <conditionalFormatting sqref="U11:X14">
    <cfRule type="iconSet" priority="2">
      <iconSet iconSet="3Symbols">
        <cfvo type="percent" val="0"/>
        <cfvo type="percent" val="33"/>
        <cfvo type="percent" val="67"/>
      </iconSet>
    </cfRule>
  </conditionalFormatting>
  <conditionalFormatting sqref="V7:X7">
    <cfRule type="iconSet" priority="1">
      <iconSet iconSet="3Symbols">
        <cfvo type="percent" val="0"/>
        <cfvo type="percent" val="33"/>
        <cfvo type="percent" val="67"/>
      </iconSet>
    </cfRule>
  </conditionalFormatting>
  <conditionalFormatting sqref="V11:X14">
    <cfRule type="iconSet" priority="3">
      <iconSet iconSet="3Symbols">
        <cfvo type="percent" val="0"/>
        <cfvo type="percent" val="33"/>
        <cfvo type="percent" val="67"/>
      </iconSet>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281E93D4CD8AF4592CEAE70F49402AE" ma:contentTypeVersion="19" ma:contentTypeDescription="Crear nuevo documento." ma:contentTypeScope="" ma:versionID="bc27ca239ee5364de882bf49db749c36">
  <xsd:schema xmlns:xsd="http://www.w3.org/2001/XMLSchema" xmlns:xs="http://www.w3.org/2001/XMLSchema" xmlns:p="http://schemas.microsoft.com/office/2006/metadata/properties" xmlns:ns1="http://schemas.microsoft.com/sharepoint/v3" xmlns:ns2="07fe17d8-c930-4881-be9b-3b241872ecf2" xmlns:ns3="a516c34c-5f40-4b9f-bc5a-0e3bcef9c56f" targetNamespace="http://schemas.microsoft.com/office/2006/metadata/properties" ma:root="true" ma:fieldsID="dfd02d4500181950e6ebedca310b1d56" ns1:_="" ns2:_="" ns3:_="">
    <xsd:import namespace="http://schemas.microsoft.com/sharepoint/v3"/>
    <xsd:import namespace="07fe17d8-c930-4881-be9b-3b241872ecf2"/>
    <xsd:import namespace="a516c34c-5f40-4b9f-bc5a-0e3bcef9c56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ServiceObjectDetectorVersions" minOccurs="0"/>
                <xsd:element ref="ns3:MediaLengthInSecond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iedades de la Directiva de cumplimiento unificado" ma:hidden="true" ma:internalName="_ip_UnifiedCompliancePolicyProperties">
      <xsd:simpleType>
        <xsd:restriction base="dms:Note"/>
      </xsd:simpleType>
    </xsd:element>
    <xsd:element name="_ip_UnifiedCompliancePolicyUIAction" ma:index="25"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fe17d8-c930-4881-be9b-3b241872ecf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650174f-470c-410d-aec3-42866a07fb7e}" ma:internalName="TaxCatchAll" ma:showField="CatchAllData" ma:web="07fe17d8-c930-4881-be9b-3b241872ecf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16c34c-5f40-4b9f-bc5a-0e3bcef9c56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df190b87-05f6-46f7-85c1-10bf1ed362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7fe17d8-c930-4881-be9b-3b241872ecf2" xsi:nil="true"/>
    <lcf76f155ced4ddcb4097134ff3c332f xmlns="a516c34c-5f40-4b9f-bc5a-0e3bcef9c56f">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21E385F-31AC-44DC-AD80-9ADB528DC174}">
  <ds:schemaRefs>
    <ds:schemaRef ds:uri="http://schemas.microsoft.com/sharepoint/v3/contenttype/forms"/>
  </ds:schemaRefs>
</ds:datastoreItem>
</file>

<file path=customXml/itemProps2.xml><?xml version="1.0" encoding="utf-8"?>
<ds:datastoreItem xmlns:ds="http://schemas.openxmlformats.org/officeDocument/2006/customXml" ds:itemID="{0104D372-BA5B-4DD2-8ED7-FA9BFF6DAE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7fe17d8-c930-4881-be9b-3b241872ecf2"/>
    <ds:schemaRef ds:uri="a516c34c-5f40-4b9f-bc5a-0e3bcef9c5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DB03BF-0C37-4F11-B196-D49044127181}">
  <ds:schemaRefs>
    <ds:schemaRef ds:uri="http://purl.org/dc/dcmitype/"/>
    <ds:schemaRef ds:uri="http://schemas.microsoft.com/sharepoint/v3"/>
    <ds:schemaRef ds:uri="http://www.w3.org/XML/1998/namespace"/>
    <ds:schemaRef ds:uri="http://purl.org/dc/elements/1.1/"/>
    <ds:schemaRef ds:uri="http://schemas.openxmlformats.org/package/2006/metadata/core-properties"/>
    <ds:schemaRef ds:uri="07fe17d8-c930-4881-be9b-3b241872ecf2"/>
    <ds:schemaRef ds:uri="http://schemas.microsoft.com/office/2006/documentManagement/types"/>
    <ds:schemaRef ds:uri="a516c34c-5f40-4b9f-bc5a-0e3bcef9c56f"/>
    <ds:schemaRef ds:uri="http://schemas.microsoft.com/office/infopath/2007/PartnerControl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Datos Flujos</vt:lpstr>
      <vt:lpstr>Hoja1</vt:lpstr>
      <vt:lpstr>Flujos transaccionales </vt:lpstr>
      <vt:lpstr>Matriz Modifica 745 24-09-2024</vt:lpstr>
      <vt:lpstr>Matriz Modifica 750 25-09-2 </vt:lpstr>
      <vt:lpstr>Matriz Modifica (737) 09-09-24</vt:lpstr>
      <vt:lpstr>Matriz Modifica (715) 15-08-24</vt:lpstr>
      <vt:lpstr>Matriz Modifica (707) 06-08-24</vt:lpstr>
      <vt:lpstr>Matriz Modifica (702) 02-08-24</vt:lpstr>
      <vt:lpstr>Matriz Modifica 25-07-2024</vt:lpstr>
      <vt:lpstr>Matriz Modifica (696) 19-07-24</vt:lpstr>
      <vt:lpstr>Matriz Modifica (683) 26 Jun 24</vt:lpstr>
      <vt:lpstr>Matriz modificada  24 Junio 24</vt:lpstr>
      <vt:lpstr>Matriz modificada  21 Junio 24</vt:lpstr>
      <vt:lpstr>Matriz modificada</vt:lpstr>
      <vt:lpstr>App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Alberto Vela Jimenez</dc:creator>
  <cp:keywords/>
  <dc:description/>
  <cp:lastModifiedBy>Joaquin Soto</cp:lastModifiedBy>
  <cp:revision/>
  <dcterms:created xsi:type="dcterms:W3CDTF">2023-10-18T16:23:00Z</dcterms:created>
  <dcterms:modified xsi:type="dcterms:W3CDTF">2025-12-17T18:53:50Z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0x0101001281E93D4CD8AF4592CEAE70F49402AE</vt:lpwstr>
  </property>
  <property fmtid="{D5CDD505-2E9C-101B-9397-08002B2CF9AE}" pid="3" name="MediaServiceImageTags">
    <vt:lpwstr/>
  </property>
</Properties>
</file>